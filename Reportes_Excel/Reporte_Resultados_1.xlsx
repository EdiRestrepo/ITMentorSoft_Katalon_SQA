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Detalle" sheetId="3" state="visible" r:id="rId3"/>
    <sheet name="HU_Caso" sheetId="4" state="visible" r:id="rId4"/>
    <sheet name="Casos_Katalon" sheetId="5" state="visible" r:id="rId5"/>
    <sheet name="Ejecuciones" sheetId="6" state="visible" r:id="rId6"/>
  </sheets>
  <definedNames>
    <definedName name="_xlnm._FilterDatabase" localSheetId="2" hidden="1">'Detalle'!$A$1:$N$44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i val="1"/>
      <sz val="9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D3A8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9" fontId="2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9" fontId="6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D9F2E3"/>
        </patternFill>
      </fill>
    </dxf>
    <dxf>
      <fill>
        <patternFill patternType="solid">
          <fgColor rgb="00FAD7D4"/>
        </patternFill>
      </fill>
    </dxf>
    <dxf>
      <fill>
        <patternFill patternType="solid">
          <fgColor rgb="00F8E1C4"/>
        </patternFill>
      </fill>
    </dxf>
    <dxf>
      <fill>
        <patternFill patternType="solid">
          <fgColor rgb="00EDEFF2"/>
        </patternFill>
      </fill>
    </dxf>
    <dxf>
      <fill>
        <patternFill patternType="solid">
          <fgColor rgb="00E8E0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dev.azure.com/especializacion-itm/Trabajo%20de%20Grado%20-%20Tutor%20inteligente/_workitems/edit/418" TargetMode="External" Id="rId1" /><Relationship Type="http://schemas.openxmlformats.org/officeDocument/2006/relationships/hyperlink" Target="https://dev.azure.com/especializacion-itm/Trabajo%20de%20Grado%20-%20Tutor%20inteligente/_workitems/edit/422" TargetMode="External" Id="rId2" /><Relationship Type="http://schemas.openxmlformats.org/officeDocument/2006/relationships/hyperlink" Target="https://dev.azure.com/especializacion-itm/Trabajo%20de%20Grado%20-%20Tutor%20inteligente/_workitems/edit/426" TargetMode="External" Id="rId3" /><Relationship Type="http://schemas.openxmlformats.org/officeDocument/2006/relationships/hyperlink" Target="https://dev.azure.com/especializacion-itm/Trabajo%20de%20Grado%20-%20Tutor%20inteligente/_workitems/edit/430" TargetMode="External" Id="rId4" /><Relationship Type="http://schemas.openxmlformats.org/officeDocument/2006/relationships/hyperlink" Target="https://dev.azure.com/especializacion-itm/Trabajo%20de%20Grado%20-%20Tutor%20inteligente/_workitems/edit/434" TargetMode="External" Id="rId5" /><Relationship Type="http://schemas.openxmlformats.org/officeDocument/2006/relationships/hyperlink" Target="https://dev.azure.com/especializacion-itm/Trabajo%20de%20Grado%20-%20Tutor%20inteligente/_workitems/edit/435" TargetMode="External" Id="rId6" /><Relationship Type="http://schemas.openxmlformats.org/officeDocument/2006/relationships/hyperlink" Target="https://dev.azure.com/especializacion-itm/Trabajo%20de%20Grado%20-%20Tutor%20inteligente/_workitems/edit/436" TargetMode="External" Id="rId7" /><Relationship Type="http://schemas.openxmlformats.org/officeDocument/2006/relationships/hyperlink" Target="https://dev.azure.com/especializacion-itm/Trabajo%20de%20Grado%20-%20Tutor%20inteligente/_workitems/edit/438" TargetMode="External" Id="rId8" /><Relationship Type="http://schemas.openxmlformats.org/officeDocument/2006/relationships/hyperlink" Target="https://dev.azure.com/especializacion-itm/Trabajo%20de%20Grado%20-%20Tutor%20inteligente/_workitems/edit/440" TargetMode="External" Id="rId9" /><Relationship Type="http://schemas.openxmlformats.org/officeDocument/2006/relationships/hyperlink" Target="https://dev.azure.com/especializacion-itm/Trabajo%20de%20Grado%20-%20Tutor%20inteligente/_workitems/edit/442" TargetMode="External" Id="rId10" /><Relationship Type="http://schemas.openxmlformats.org/officeDocument/2006/relationships/hyperlink" Target="https://dev.azure.com/especializacion-itm/Trabajo%20de%20Grado%20-%20Tutor%20inteligente/_workitems/edit/444" TargetMode="External" Id="rId11" /><Relationship Type="http://schemas.openxmlformats.org/officeDocument/2006/relationships/hyperlink" Target="https://dev.azure.com/especializacion-itm/Trabajo%20de%20Grado%20-%20Tutor%20inteligente/_workitems/edit/446" TargetMode="External" Id="rId12" /><Relationship Type="http://schemas.openxmlformats.org/officeDocument/2006/relationships/hyperlink" Target="https://dev.azure.com/especializacion-itm/Trabajo%20de%20Grado%20-%20Tutor%20inteligente/_workitems/edit/448" TargetMode="External" Id="rId13" /><Relationship Type="http://schemas.openxmlformats.org/officeDocument/2006/relationships/hyperlink" Target="https://dev.azure.com/especializacion-itm/Trabajo%20de%20Grado%20-%20Tutor%20inteligente/_workitems/edit/450" TargetMode="External" Id="rId14" /><Relationship Type="http://schemas.openxmlformats.org/officeDocument/2006/relationships/hyperlink" Target="https://dev.azure.com/especializacion-itm/Trabajo%20de%20Grado%20-%20Tutor%20inteligente/_workitems/edit/451" TargetMode="External" Id="rId15" /><Relationship Type="http://schemas.openxmlformats.org/officeDocument/2006/relationships/hyperlink" Target="https://dev.azure.com/especializacion-itm/Trabajo%20de%20Grado%20-%20Tutor%20inteligente/_workitems/edit/455" TargetMode="External" Id="rId16" /><Relationship Type="http://schemas.openxmlformats.org/officeDocument/2006/relationships/hyperlink" Target="https://dev.azure.com/especializacion-itm/Trabajo%20de%20Grado%20-%20Tutor%20inteligente/_workitems/edit/457" TargetMode="External" Id="rId17" /><Relationship Type="http://schemas.openxmlformats.org/officeDocument/2006/relationships/hyperlink" Target="https://dev.azure.com/especializacion-itm/Trabajo%20de%20Grado%20-%20Tutor%20inteligente/_workitems/edit/459" TargetMode="External" Id="rId18" /><Relationship Type="http://schemas.openxmlformats.org/officeDocument/2006/relationships/hyperlink" Target="https://dev.azure.com/especializacion-itm/Trabajo%20de%20Grado%20-%20Tutor%20inteligente/_workitems/edit/461" TargetMode="External" Id="rId19" /><Relationship Type="http://schemas.openxmlformats.org/officeDocument/2006/relationships/hyperlink" Target="https://dev.azure.com/especializacion-itm/Trabajo%20de%20Grado%20-%20Tutor%20inteligente/_workitems/edit/465" TargetMode="External" Id="rId20" /><Relationship Type="http://schemas.openxmlformats.org/officeDocument/2006/relationships/hyperlink" Target="https://dev.azure.com/especializacion-itm/Trabajo%20de%20Grado%20-%20Tutor%20inteligente/_workitems/edit/466" TargetMode="External" Id="rId21" /><Relationship Type="http://schemas.openxmlformats.org/officeDocument/2006/relationships/hyperlink" Target="https://dev.azure.com/especializacion-itm/Trabajo%20de%20Grado%20-%20Tutor%20inteligente/_workitems/edit/468" TargetMode="External" Id="rId22" /><Relationship Type="http://schemas.openxmlformats.org/officeDocument/2006/relationships/hyperlink" Target="https://dev.azure.com/especializacion-itm/Trabajo%20de%20Grado%20-%20Tutor%20inteligente/_workitems/edit/469" TargetMode="External" Id="rId23" /><Relationship Type="http://schemas.openxmlformats.org/officeDocument/2006/relationships/hyperlink" Target="https://dev.azure.com/especializacion-itm/Trabajo%20de%20Grado%20-%20Tutor%20inteligente/_workitems/edit/471" TargetMode="External" Id="rId24" /><Relationship Type="http://schemas.openxmlformats.org/officeDocument/2006/relationships/hyperlink" Target="https://dev.azure.com/especializacion-itm/Trabajo%20de%20Grado%20-%20Tutor%20inteligente/_workitems/edit/472" TargetMode="External" Id="rId25" /><Relationship Type="http://schemas.openxmlformats.org/officeDocument/2006/relationships/hyperlink" Target="https://dev.azure.com/especializacion-itm/Trabajo%20de%20Grado%20-%20Tutor%20inteligente/_workitems/edit/473" TargetMode="External" Id="rId26" /><Relationship Type="http://schemas.openxmlformats.org/officeDocument/2006/relationships/hyperlink" Target="https://dev.azure.com/especializacion-itm/Trabajo%20de%20Grado%20-%20Tutor%20inteligente/_workitems/edit/475" TargetMode="External" Id="rId27" /><Relationship Type="http://schemas.openxmlformats.org/officeDocument/2006/relationships/hyperlink" Target="https://dev.azure.com/especializacion-itm/Trabajo%20de%20Grado%20-%20Tutor%20inteligente/_workitems/edit/476" TargetMode="External" Id="rId28" /><Relationship Type="http://schemas.openxmlformats.org/officeDocument/2006/relationships/hyperlink" Target="https://dev.azure.com/especializacion-itm/Trabajo%20de%20Grado%20-%20Tutor%20inteligente/_workitems/edit/477" TargetMode="External" Id="rId29" /><Relationship Type="http://schemas.openxmlformats.org/officeDocument/2006/relationships/hyperlink" Target="https://dev.azure.com/especializacion-itm/Trabajo%20de%20Grado%20-%20Tutor%20inteligente/_workitems/edit/478" TargetMode="External" Id="rId30" /><Relationship Type="http://schemas.openxmlformats.org/officeDocument/2006/relationships/hyperlink" Target="https://dev.azure.com/especializacion-itm/Trabajo%20de%20Grado%20-%20Tutor%20inteligente/_workitems/edit/482" TargetMode="External" Id="rId31" /><Relationship Type="http://schemas.openxmlformats.org/officeDocument/2006/relationships/hyperlink" Target="https://dev.azure.com/especializacion-itm/Trabajo%20de%20Grado%20-%20Tutor%20inteligente/_workitems/edit/483" TargetMode="External" Id="rId32" /><Relationship Type="http://schemas.openxmlformats.org/officeDocument/2006/relationships/hyperlink" Target="https://dev.azure.com/especializacion-itm/Trabajo%20de%20Grado%20-%20Tutor%20inteligente/_workitems/edit/485" TargetMode="External" Id="rId33" /><Relationship Type="http://schemas.openxmlformats.org/officeDocument/2006/relationships/hyperlink" Target="https://dev.azure.com/especializacion-itm/Trabajo%20de%20Grado%20-%20Tutor%20inteligente/_workitems/edit/486" TargetMode="External" Id="rId34" /><Relationship Type="http://schemas.openxmlformats.org/officeDocument/2006/relationships/hyperlink" Target="https://dev.azure.com/especializacion-itm/Trabajo%20de%20Grado%20-%20Tutor%20inteligente/_workitems/edit/488" TargetMode="External" Id="rId35" /><Relationship Type="http://schemas.openxmlformats.org/officeDocument/2006/relationships/hyperlink" Target="https://dev.azure.com/especializacion-itm/Trabajo%20de%20Grado%20-%20Tutor%20inteligente/_workitems/edit/489" TargetMode="External" Id="rId36" /><Relationship Type="http://schemas.openxmlformats.org/officeDocument/2006/relationships/hyperlink" Target="https://dev.azure.com/especializacion-itm/Trabajo%20de%20Grado%20-%20Tutor%20inteligente/_workitems/edit/493" TargetMode="External" Id="rId37" /><Relationship Type="http://schemas.openxmlformats.org/officeDocument/2006/relationships/hyperlink" Target="https://dev.azure.com/especializacion-itm/Trabajo%20de%20Grado%20-%20Tutor%20inteligente/_workitems/edit/494" TargetMode="External" Id="rId38" /><Relationship Type="http://schemas.openxmlformats.org/officeDocument/2006/relationships/hyperlink" Target="https://dev.azure.com/especializacion-itm/Trabajo%20de%20Grado%20-%20Tutor%20inteligente/_workitems/edit/496" TargetMode="External" Id="rId39" /><Relationship Type="http://schemas.openxmlformats.org/officeDocument/2006/relationships/hyperlink" Target="https://dev.azure.com/especializacion-itm/Trabajo%20de%20Grado%20-%20Tutor%20inteligente/_workitems/edit/497" TargetMode="External" Id="rId40" /><Relationship Type="http://schemas.openxmlformats.org/officeDocument/2006/relationships/hyperlink" Target="https://dev.azure.com/especializacion-itm/Trabajo%20de%20Grado%20-%20Tutor%20inteligente/_workitems/edit/499" TargetMode="External" Id="rId41" /><Relationship Type="http://schemas.openxmlformats.org/officeDocument/2006/relationships/hyperlink" Target="https://dev.azure.com/especializacion-itm/Trabajo%20de%20Grado%20-%20Tutor%20inteligente/_workitems/edit/500" TargetMode="External" Id="rId42" /><Relationship Type="http://schemas.openxmlformats.org/officeDocument/2006/relationships/hyperlink" Target="https://dev.azure.com/especializacion-itm/Trabajo%20de%20Grado%20-%20Tutor%20inteligente/_workitems/edit/502" TargetMode="External" Id="rId43" /></Relationships>
</file>

<file path=xl/worksheets/_rels/sheet5.xml.rels><Relationships xmlns="http://schemas.openxmlformats.org/package/2006/relationships"><Relationship Type="http://schemas.openxmlformats.org/officeDocument/2006/relationships/hyperlink" Target="Por_prueba/TC01_HU122_Aislamiento_datos_academicos_entre_estudiantes.xlsx" TargetMode="External" Id="rId1" /><Relationship Type="http://schemas.openxmlformats.org/officeDocument/2006/relationships/hyperlink" Target="Por_prueba/TC02_HU213_Restriccion_acceso_por_rol_a_administracion_de_evaluaciones.xlsx" TargetMode="External" Id="rId2" /><Relationship Type="http://schemas.openxmlformats.org/officeDocument/2006/relationships/hyperlink" Target="Por_prueba/TC03_HU211_Evaluacion_inicial_secuencial_y_persistencia_de_respuestas.xlsx" TargetMode="External" Id="rId3" /><Relationship Type="http://schemas.openxmlformats.org/officeDocument/2006/relationships/hyperlink" Target="Por_prueba/TC04_AZ483_Login_errores_de_formato_y_mensaje_generico.xlsx" TargetMode="External" Id="rId4" /><Relationship Type="http://schemas.openxmlformats.org/officeDocument/2006/relationships/hyperlink" Target="Por_prueba/TC05_AZ478_Registro_limites_de_longitud_y_formato.xlsx" TargetMode="External" Id="rId5" /><Relationship Type="http://schemas.openxmlformats.org/officeDocument/2006/relationships/hyperlink" Target="Por_prueba/TC06_AZ482_Registro_unicidad_de_usuario_y_correo.xlsx" TargetMode="External" Id="rId6" /><Relationship Type="http://schemas.openxmlformats.org/officeDocument/2006/relationships/hyperlink" Target="Por_prueba/TC07_AZ485_Login_exitoso_cookie_segura_y_redireccion_por_rol.xlsx" TargetMode="External" Id="rId7" /><Relationship Type="http://schemas.openxmlformats.org/officeDocument/2006/relationships/hyperlink" Target="Por_prueba/TC08_AZ486_Recuperacion_mensaje_generico_y_vigencia.xlsx" TargetMode="External" Id="rId8" /><Relationship Type="http://schemas.openxmlformats.org/officeDocument/2006/relationships/hyperlink" Target="Por_prueba/TC09_AZ488_Restablecimiento_enlace_invalido_y_complejidad.xlsx" TargetMode="External" Id="rId9" /><Relationship Type="http://schemas.openxmlformats.org/officeDocument/2006/relationships/hyperlink" Target="Por_prueba/TC10_AZ494_Middleware_401_y_403_segun_token_y_rol.xlsx" TargetMode="External" Id="rId10" /><Relationship Type="http://schemas.openxmlformats.org/officeDocument/2006/relationships/hyperlink" Target="Por_prueba/TC11_AZ422_Ingreso_al_modulo_de_evaluacion_inicial.xlsx" TargetMode="External" Id="rId11" /><Relationship Type="http://schemas.openxmlformats.org/officeDocument/2006/relationships/hyperlink" Target="Por_prueba/TC12_AZ435_AZ457_Finalizacion_y_retroalimentacion_de_la_evaluacion.xlsx" TargetMode="External" Id="rId12" /><Relationship Type="http://schemas.openxmlformats.org/officeDocument/2006/relationships/hyperlink" Target="Por_prueba/TC13_AZ426_AZ451_AZ475_Progreso_perfil_y_categoria_del_estudiante.xlsx" TargetMode="External" Id="rId13" /><Relationship Type="http://schemas.openxmlformats.org/officeDocument/2006/relationships/hyperlink" Target="Por_prueba/TC14_AZ436_AZ446_AZ461_Ruta_de_aprendizaje_y_recomendaciones.xlsx" TargetMode="External" Id="rId14" /><Relationship Type="http://schemas.openxmlformats.org/officeDocument/2006/relationships/hyperlink" Target="Por_prueba/TC15_AZ448_Calificacion_de_recursos_recomendados.xlsx" TargetMode="External" Id="rId15" /><Relationship Type="http://schemas.openxmlformats.org/officeDocument/2006/relationships/hyperlink" Target="Por_prueba/TC16_AZ450_AZ500_Acceso_por_rol_a_reportes_y_datos_consolidados.xlsx" TargetMode="External" Id="rId16" /><Relationship Type="http://schemas.openxmlformats.org/officeDocument/2006/relationships/hyperlink" Target="Por_prueba/TC17_AZ502_AZ476_AZ455_Reportes_graficos_y_filtro_por_nivel.xlsx" TargetMode="External" Id="rId17" /><Relationship Type="http://schemas.openxmlformats.org/officeDocument/2006/relationships/hyperlink" Target="Por_prueba/TC18_AZ440_AZ444_Reportes_de_recursos_y_banco_de_preguntas.xlsx" TargetMode="External" Id="rId18" /><Relationship Type="http://schemas.openxmlformats.org/officeDocument/2006/relationships/hyperlink" Target="Por_prueba/TC19_AZ430_Gestion_de_recursos_validaciones_y_consulta.xlsx" TargetMode="External" Id="rId19" /><Relationship Type="http://schemas.openxmlformats.org/officeDocument/2006/relationships/hyperlink" Target="Por_prueba/TC20_AZ468_Banco_de_preguntas_paginacion_filtros_y_versiones.xlsx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0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Resultados de pruebas - ITMentorSoft</t>
        </is>
      </c>
    </row>
    <row r="2">
      <c r="A2" s="2" t="inlineStr">
        <is>
          <t>Generado: 2026-10-23 14:56  ·  Casos: Azure DevOps especializacion-itm / Trabajo de Grado - Tutor inteligente (lectura por MCP) (2026-10-23)  ·  Ejecuciones de Katalon leídas: 34  ·  Aplicación: https://itmentorsoft.com</t>
        </is>
      </c>
    </row>
    <row r="4">
      <c r="A4" s="3" t="inlineStr">
        <is>
          <t>Resultado (casos de Azure)</t>
        </is>
      </c>
      <c r="B4" s="3" t="inlineStr">
        <is>
          <t>Casos</t>
        </is>
      </c>
      <c r="C4" s="3" t="inlineStr">
        <is>
          <t>% del total</t>
        </is>
      </c>
    </row>
    <row r="5">
      <c r="A5" s="4" t="inlineStr">
        <is>
          <t>Pasó</t>
        </is>
      </c>
      <c r="B5" s="4">
        <f>COUNTIF(Detalle!$H$2:$H$44,A5)</f>
        <v/>
      </c>
      <c r="C5" s="5">
        <f>IF($B$10=0,0,B5/$B$10)</f>
        <v/>
      </c>
    </row>
    <row r="6">
      <c r="A6" s="4" t="inlineStr">
        <is>
          <t>Falló</t>
        </is>
      </c>
      <c r="B6" s="4">
        <f>COUNTIF(Detalle!$H$2:$H$44,A6)</f>
        <v/>
      </c>
      <c r="C6" s="5">
        <f>IF($B$10=0,0,B6/$B$10)</f>
        <v/>
      </c>
    </row>
    <row r="7">
      <c r="A7" s="4" t="inlineStr">
        <is>
          <t>Error</t>
        </is>
      </c>
      <c r="B7" s="4">
        <f>COUNTIF(Detalle!$H$2:$H$44,A7)</f>
        <v/>
      </c>
      <c r="C7" s="5">
        <f>IF($B$10=0,0,B7/$B$10)</f>
        <v/>
      </c>
    </row>
    <row r="8">
      <c r="A8" s="4" t="inlineStr">
        <is>
          <t>No ejecutado</t>
        </is>
      </c>
      <c r="B8" s="4">
        <f>COUNTIF(Detalle!$H$2:$H$44,A8)</f>
        <v/>
      </c>
      <c r="C8" s="5">
        <f>IF($B$10=0,0,B8/$B$10)</f>
        <v/>
      </c>
    </row>
    <row r="9">
      <c r="A9" s="4" t="inlineStr">
        <is>
          <t>No automatizable</t>
        </is>
      </c>
      <c r="B9" s="4">
        <f>COUNTIF(Detalle!$H$2:$H$44,A9)</f>
        <v/>
      </c>
      <c r="C9" s="5">
        <f>IF($B$10=0,0,B9/$B$10)</f>
        <v/>
      </c>
    </row>
    <row r="10">
      <c r="A10" s="6" t="inlineStr">
        <is>
          <t>Total</t>
        </is>
      </c>
      <c r="B10" s="6">
        <f>SUM(B5:B9)</f>
        <v/>
      </c>
      <c r="C10" s="7">
        <f>IF(B10=0,0,B10/B10)</f>
        <v/>
      </c>
    </row>
    <row r="11">
      <c r="A11" s="6" t="inlineStr">
        <is>
          <t>Ejecutados</t>
        </is>
      </c>
      <c r="B11" s="6">
        <f>B5+B6+B7</f>
        <v/>
      </c>
      <c r="C11" s="7" t="n"/>
    </row>
    <row r="12">
      <c r="A12" s="6" t="inlineStr">
        <is>
          <t>% de aprobación (pasó / ejecutados)</t>
        </is>
      </c>
      <c r="B12" s="7">
        <f>IF(B11=0,0,B5/B11)</f>
        <v/>
      </c>
      <c r="C12" s="7" t="n"/>
    </row>
    <row r="14">
      <c r="A14" s="3" t="inlineStr">
        <is>
          <t>Tipo de caso</t>
        </is>
      </c>
      <c r="B14" s="3" t="inlineStr">
        <is>
          <t>Casos</t>
        </is>
      </c>
      <c r="C14" s="3" t="inlineStr">
        <is>
          <t>Pasó</t>
        </is>
      </c>
      <c r="D14" s="3" t="inlineStr">
        <is>
          <t>Falló / Error</t>
        </is>
      </c>
      <c r="E14" s="3" t="inlineStr">
        <is>
          <t>Sin ejecutar</t>
        </is>
      </c>
    </row>
    <row r="15">
      <c r="A15" s="4" t="inlineStr">
        <is>
          <t>Automatizado</t>
        </is>
      </c>
      <c r="B15" s="4">
        <f>COUNTIF(Detalle!$E$2:$E$44,A15)</f>
        <v/>
      </c>
      <c r="C15" s="4">
        <f>COUNTIFS(Detalle!$E$2:$E$44,A15,Detalle!$H$2:$H$44,"Pasó")</f>
        <v/>
      </c>
      <c r="D15" s="4">
        <f>COUNTIFS(Detalle!$E$2:$E$44,A15,Detalle!$H$2:$H$44,"Falló")+COUNTIFS(Detalle!$E$2:$E$44,A15,Detalle!$H$2:$H$44,"Error")</f>
        <v/>
      </c>
      <c r="E15" s="4">
        <f>B15-C15-D15</f>
        <v/>
      </c>
    </row>
    <row r="16">
      <c r="A16" s="4" t="inlineStr">
        <is>
          <t>Automatizado parcial</t>
        </is>
      </c>
      <c r="B16" s="4">
        <f>COUNTIF(Detalle!$E$2:$E$44,A16)</f>
        <v/>
      </c>
      <c r="C16" s="4">
        <f>COUNTIFS(Detalle!$E$2:$E$44,A16,Detalle!$H$2:$H$44,"Pasó")</f>
        <v/>
      </c>
      <c r="D16" s="4">
        <f>COUNTIFS(Detalle!$E$2:$E$44,A16,Detalle!$H$2:$H$44,"Falló")+COUNTIFS(Detalle!$E$2:$E$44,A16,Detalle!$H$2:$H$44,"Error")</f>
        <v/>
      </c>
      <c r="E16" s="4">
        <f>B16-C16-D16</f>
        <v/>
      </c>
    </row>
    <row r="17">
      <c r="A17" s="4" t="inlineStr">
        <is>
          <t>No automatizable</t>
        </is>
      </c>
      <c r="B17" s="4">
        <f>COUNTIF(Detalle!$E$2:$E$44,A17)</f>
        <v/>
      </c>
      <c r="C17" s="4">
        <f>COUNTIFS(Detalle!$E$2:$E$44,A17,Detalle!$H$2:$H$44,"Pasó")</f>
        <v/>
      </c>
      <c r="D17" s="4">
        <f>COUNTIFS(Detalle!$E$2:$E$44,A17,Detalle!$H$2:$H$44,"Falló")+COUNTIFS(Detalle!$E$2:$E$44,A17,Detalle!$H$2:$H$44,"Error")</f>
        <v/>
      </c>
      <c r="E17" s="4">
        <f>B17-C17-D17</f>
        <v/>
      </c>
    </row>
    <row r="19">
      <c r="A19" s="3" t="inlineStr">
        <is>
          <t>Pruebas Katalon</t>
        </is>
      </c>
      <c r="B19" s="3" t="inlineStr">
        <is>
          <t>Casos</t>
        </is>
      </c>
      <c r="C19" s="3" t="inlineStr"/>
      <c r="D19" s="3" t="inlineStr"/>
      <c r="E19" s="3" t="inlineStr"/>
    </row>
    <row r="20">
      <c r="A20" s="4" t="inlineStr">
        <is>
          <t>Pruebas automatizadas</t>
        </is>
      </c>
      <c r="B20" s="4">
        <f>COUNTA(Casos_Katalon!$A$2:$A$21)</f>
        <v/>
      </c>
    </row>
    <row r="21">
      <c r="A21" s="4" t="inlineStr">
        <is>
          <t>Pasaron</t>
        </is>
      </c>
      <c r="B21" s="4">
        <f>COUNTIF(Casos_Katalon!$D$2:$D$21,"Pasó")</f>
        <v/>
      </c>
    </row>
    <row r="22">
      <c r="A22" s="4" t="inlineStr">
        <is>
          <t>Fallaron</t>
        </is>
      </c>
      <c r="B22" s="4">
        <f>COUNTIF(Casos_Katalon!$D$2:$D$21,"Falló")</f>
        <v/>
      </c>
    </row>
    <row r="23">
      <c r="A23" s="4" t="inlineStr">
        <is>
          <t>Error</t>
        </is>
      </c>
      <c r="B23" s="4">
        <f>COUNTIF(Casos_Katalon!$D$2:$D$21,"Error")</f>
        <v/>
      </c>
    </row>
    <row r="24">
      <c r="A24" s="4" t="inlineStr">
        <is>
          <t>No ejecutadas</t>
        </is>
      </c>
      <c r="B24" s="4">
        <f>COUNTIF(Casos_Katalon!$D$2:$D$21,"No ejecutado")</f>
        <v/>
      </c>
    </row>
    <row r="26">
      <c r="A26" s="3" t="inlineStr">
        <is>
          <t>HU</t>
        </is>
      </c>
      <c r="B26" s="3" t="inlineStr">
        <is>
          <t>Historia de usuario</t>
        </is>
      </c>
      <c r="C26" s="3" t="inlineStr">
        <is>
          <t>Casos</t>
        </is>
      </c>
      <c r="D26" s="3" t="inlineStr">
        <is>
          <t>Pasó</t>
        </is>
      </c>
      <c r="E26" s="3" t="inlineStr">
        <is>
          <t>Falló / Error</t>
        </is>
      </c>
      <c r="F26" s="3" t="inlineStr">
        <is>
          <t>Sin ejecutar</t>
        </is>
      </c>
    </row>
    <row r="27">
      <c r="A27" s="8" t="n">
        <v>176</v>
      </c>
      <c r="B27" s="4" t="inlineStr">
        <is>
          <t>HU 1.1.1 Registro de usuarios</t>
        </is>
      </c>
      <c r="C27" s="4">
        <f>COUNTIF(HU_Caso!$A$2:$A$44,A27)</f>
        <v/>
      </c>
      <c r="D27" s="4">
        <f>COUNTIFS(HU_Caso!$A$2:$A$44,A27,HU_Caso!$D$2:$D$44,"Pasó")</f>
        <v/>
      </c>
      <c r="E27" s="4">
        <f>COUNTIFS(HU_Caso!$A$2:$A$44,A27,HU_Caso!$D$2:$D$44,"Falló")+COUNTIFS(HU_Caso!$A$2:$A$44,A27,HU_Caso!$D$2:$D$44,"Error")</f>
        <v/>
      </c>
      <c r="F27" s="4">
        <f>C27-D27-E27</f>
        <v/>
      </c>
    </row>
    <row r="28">
      <c r="A28" s="8" t="n">
        <v>181</v>
      </c>
      <c r="B28" s="4" t="inlineStr">
        <is>
          <t>HU 1.1.2 Inicio de sesión</t>
        </is>
      </c>
      <c r="C28" s="4">
        <f>COUNTIF(HU_Caso!$A$2:$A$44,A28)</f>
        <v/>
      </c>
      <c r="D28" s="4">
        <f>COUNTIFS(HU_Caso!$A$2:$A$44,A28,HU_Caso!$D$2:$D$44,"Pasó")</f>
        <v/>
      </c>
      <c r="E28" s="4">
        <f>COUNTIFS(HU_Caso!$A$2:$A$44,A28,HU_Caso!$D$2:$D$44,"Falló")+COUNTIFS(HU_Caso!$A$2:$A$44,A28,HU_Caso!$D$2:$D$44,"Error")</f>
        <v/>
      </c>
      <c r="F28" s="4">
        <f>C28-D28-E28</f>
        <v/>
      </c>
    </row>
    <row r="29">
      <c r="A29" s="8" t="n">
        <v>186</v>
      </c>
      <c r="B29" s="4" t="inlineStr">
        <is>
          <t>HU 1.1.3 Reestablecer contraseña</t>
        </is>
      </c>
      <c r="C29" s="4">
        <f>COUNTIF(HU_Caso!$A$2:$A$44,A29)</f>
        <v/>
      </c>
      <c r="D29" s="4">
        <f>COUNTIFS(HU_Caso!$A$2:$A$44,A29,HU_Caso!$D$2:$D$44,"Pasó")</f>
        <v/>
      </c>
      <c r="E29" s="4">
        <f>COUNTIFS(HU_Caso!$A$2:$A$44,A29,HU_Caso!$D$2:$D$44,"Falló")+COUNTIFS(HU_Caso!$A$2:$A$44,A29,HU_Caso!$D$2:$D$44,"Error")</f>
        <v/>
      </c>
      <c r="F29" s="4">
        <f>C29-D29-E29</f>
        <v/>
      </c>
    </row>
    <row r="30">
      <c r="A30" s="8" t="n">
        <v>193</v>
      </c>
      <c r="B30" s="4" t="inlineStr">
        <is>
          <t>HU 1.2.1 Asignación de roles</t>
        </is>
      </c>
      <c r="C30" s="4">
        <f>COUNTIF(HU_Caso!$A$2:$A$44,A30)</f>
        <v/>
      </c>
      <c r="D30" s="4">
        <f>COUNTIFS(HU_Caso!$A$2:$A$44,A30,HU_Caso!$D$2:$D$44,"Pasó")</f>
        <v/>
      </c>
      <c r="E30" s="4">
        <f>COUNTIFS(HU_Caso!$A$2:$A$44,A30,HU_Caso!$D$2:$D$44,"Falló")+COUNTIFS(HU_Caso!$A$2:$A$44,A30,HU_Caso!$D$2:$D$44,"Error")</f>
        <v/>
      </c>
      <c r="F30" s="4">
        <f>C30-D30-E30</f>
        <v/>
      </c>
    </row>
    <row r="31">
      <c r="A31" s="8" t="n">
        <v>198</v>
      </c>
      <c r="B31" s="4" t="inlineStr">
        <is>
          <t>HU 1.2.2 Acceso y privacidad en datos</t>
        </is>
      </c>
      <c r="C31" s="4">
        <f>COUNTIF(HU_Caso!$A$2:$A$44,A31)</f>
        <v/>
      </c>
      <c r="D31" s="4">
        <f>COUNTIFS(HU_Caso!$A$2:$A$44,A31,HU_Caso!$D$2:$D$44,"Pasó")</f>
        <v/>
      </c>
      <c r="E31" s="4">
        <f>COUNTIFS(HU_Caso!$A$2:$A$44,A31,HU_Caso!$D$2:$D$44,"Falló")+COUNTIFS(HU_Caso!$A$2:$A$44,A31,HU_Caso!$D$2:$D$44,"Error")</f>
        <v/>
      </c>
      <c r="F31" s="4">
        <f>C31-D31-E31</f>
        <v/>
      </c>
    </row>
    <row r="32">
      <c r="A32" s="8" t="n">
        <v>203</v>
      </c>
      <c r="B32" s="4" t="inlineStr">
        <is>
          <t>HU 1.2.3 Acceso a rubricas de calificación</t>
        </is>
      </c>
      <c r="C32" s="4">
        <f>COUNTIF(HU_Caso!$A$2:$A$44,A32)</f>
        <v/>
      </c>
      <c r="D32" s="4">
        <f>COUNTIFS(HU_Caso!$A$2:$A$44,A32,HU_Caso!$D$2:$D$44,"Pasó")</f>
        <v/>
      </c>
      <c r="E32" s="4">
        <f>COUNTIFS(HU_Caso!$A$2:$A$44,A32,HU_Caso!$D$2:$D$44,"Falló")+COUNTIFS(HU_Caso!$A$2:$A$44,A32,HU_Caso!$D$2:$D$44,"Error")</f>
        <v/>
      </c>
      <c r="F32" s="4">
        <f>C32-D32-E32</f>
        <v/>
      </c>
    </row>
    <row r="33">
      <c r="A33" s="8" t="n">
        <v>207</v>
      </c>
      <c r="B33" s="4" t="inlineStr">
        <is>
          <t>HU 1.2.4 Reportes de estudiantes</t>
        </is>
      </c>
      <c r="C33" s="4">
        <f>COUNTIF(HU_Caso!$A$2:$A$44,A33)</f>
        <v/>
      </c>
      <c r="D33" s="4">
        <f>COUNTIFS(HU_Caso!$A$2:$A$44,A33,HU_Caso!$D$2:$D$44,"Pasó")</f>
        <v/>
      </c>
      <c r="E33" s="4">
        <f>COUNTIFS(HU_Caso!$A$2:$A$44,A33,HU_Caso!$D$2:$D$44,"Falló")+COUNTIFS(HU_Caso!$A$2:$A$44,A33,HU_Caso!$D$2:$D$44,"Error")</f>
        <v/>
      </c>
      <c r="F33" s="4">
        <f>C33-D33-E33</f>
        <v/>
      </c>
    </row>
    <row r="34">
      <c r="A34" s="8" t="n">
        <v>212</v>
      </c>
      <c r="B34" s="4" t="inlineStr">
        <is>
          <t>HU 2.1.1 Desarrollo de evaluación</t>
        </is>
      </c>
      <c r="C34" s="4">
        <f>COUNTIF(HU_Caso!$A$2:$A$44,A34)</f>
        <v/>
      </c>
      <c r="D34" s="4">
        <f>COUNTIFS(HU_Caso!$A$2:$A$44,A34,HU_Caso!$D$2:$D$44,"Pasó")</f>
        <v/>
      </c>
      <c r="E34" s="4">
        <f>COUNTIFS(HU_Caso!$A$2:$A$44,A34,HU_Caso!$D$2:$D$44,"Falló")+COUNTIFS(HU_Caso!$A$2:$A$44,A34,HU_Caso!$D$2:$D$44,"Error")</f>
        <v/>
      </c>
      <c r="F34" s="4">
        <f>C34-D34-E34</f>
        <v/>
      </c>
    </row>
    <row r="35">
      <c r="A35" s="8" t="n">
        <v>218</v>
      </c>
      <c r="B35" s="4" t="inlineStr">
        <is>
          <t>HU 2.1.2 Evaluación de un tema especifico</t>
        </is>
      </c>
      <c r="C35" s="4">
        <f>COUNTIF(HU_Caso!$A$2:$A$44,A35)</f>
        <v/>
      </c>
      <c r="D35" s="4">
        <f>COUNTIFS(HU_Caso!$A$2:$A$44,A35,HU_Caso!$D$2:$D$44,"Pasó")</f>
        <v/>
      </c>
      <c r="E35" s="4">
        <f>COUNTIFS(HU_Caso!$A$2:$A$44,A35,HU_Caso!$D$2:$D$44,"Falló")+COUNTIFS(HU_Caso!$A$2:$A$44,A35,HU_Caso!$D$2:$D$44,"Error")</f>
        <v/>
      </c>
      <c r="F35" s="4">
        <f>C35-D35-E35</f>
        <v/>
      </c>
    </row>
    <row r="36">
      <c r="A36" s="8" t="n">
        <v>224</v>
      </c>
      <c r="B36" s="4" t="inlineStr">
        <is>
          <t>HU 2.1.3 Creación de rubricas</t>
        </is>
      </c>
      <c r="C36" s="4">
        <f>COUNTIF(HU_Caso!$A$2:$A$44,A36)</f>
        <v/>
      </c>
      <c r="D36" s="4">
        <f>COUNTIFS(HU_Caso!$A$2:$A$44,A36,HU_Caso!$D$2:$D$44,"Pasó")</f>
        <v/>
      </c>
      <c r="E36" s="4">
        <f>COUNTIFS(HU_Caso!$A$2:$A$44,A36,HU_Caso!$D$2:$D$44,"Falló")+COUNTIFS(HU_Caso!$A$2:$A$44,A36,HU_Caso!$D$2:$D$44,"Error")</f>
        <v/>
      </c>
      <c r="F36" s="4">
        <f>C36-D36-E36</f>
        <v/>
      </c>
    </row>
    <row r="37">
      <c r="A37" s="8" t="n">
        <v>228</v>
      </c>
      <c r="B37" s="4" t="inlineStr">
        <is>
          <t>HU 2.2.1 Asignación de categoría</t>
        </is>
      </c>
      <c r="C37" s="4">
        <f>COUNTIF(HU_Caso!$A$2:$A$44,A37)</f>
        <v/>
      </c>
      <c r="D37" s="4">
        <f>COUNTIFS(HU_Caso!$A$2:$A$44,A37,HU_Caso!$D$2:$D$44,"Pasó")</f>
        <v/>
      </c>
      <c r="E37" s="4">
        <f>COUNTIFS(HU_Caso!$A$2:$A$44,A37,HU_Caso!$D$2:$D$44,"Falló")+COUNTIFS(HU_Caso!$A$2:$A$44,A37,HU_Caso!$D$2:$D$44,"Error")</f>
        <v/>
      </c>
      <c r="F37" s="4">
        <f>C37-D37-E37</f>
        <v/>
      </c>
    </row>
    <row r="38">
      <c r="A38" s="8" t="n">
        <v>235</v>
      </c>
      <c r="B38" s="4" t="inlineStr">
        <is>
          <t>HU 2.2.2 Identificación de debilidades</t>
        </is>
      </c>
      <c r="C38" s="4">
        <f>COUNTIF(HU_Caso!$A$2:$A$44,A38)</f>
        <v/>
      </c>
      <c r="D38" s="4">
        <f>COUNTIFS(HU_Caso!$A$2:$A$44,A38,HU_Caso!$D$2:$D$44,"Pasó")</f>
        <v/>
      </c>
      <c r="E38" s="4">
        <f>COUNTIFS(HU_Caso!$A$2:$A$44,A38,HU_Caso!$D$2:$D$44,"Falló")+COUNTIFS(HU_Caso!$A$2:$A$44,A38,HU_Caso!$D$2:$D$44,"Error")</f>
        <v/>
      </c>
      <c r="F38" s="4">
        <f>C38-D38-E38</f>
        <v/>
      </c>
    </row>
    <row r="39">
      <c r="A39" s="8" t="n">
        <v>241</v>
      </c>
      <c r="B39" s="4" t="inlineStr">
        <is>
          <t>HU 2.2.3 Reportes por categoría</t>
        </is>
      </c>
      <c r="C39" s="4">
        <f>COUNTIF(HU_Caso!$A$2:$A$44,A39)</f>
        <v/>
      </c>
      <c r="D39" s="4">
        <f>COUNTIFS(HU_Caso!$A$2:$A$44,A39,HU_Caso!$D$2:$D$44,"Pasó")</f>
        <v/>
      </c>
      <c r="E39" s="4">
        <f>COUNTIFS(HU_Caso!$A$2:$A$44,A39,HU_Caso!$D$2:$D$44,"Falló")+COUNTIFS(HU_Caso!$A$2:$A$44,A39,HU_Caso!$D$2:$D$44,"Error")</f>
        <v/>
      </c>
      <c r="F39" s="4">
        <f>C39-D39-E39</f>
        <v/>
      </c>
    </row>
    <row r="40">
      <c r="A40" s="8" t="n">
        <v>246</v>
      </c>
      <c r="B40" s="4" t="inlineStr">
        <is>
          <t>HU 3.1.1 Registro de contenido acádemico</t>
        </is>
      </c>
      <c r="C40" s="4">
        <f>COUNTIF(HU_Caso!$A$2:$A$44,A40)</f>
        <v/>
      </c>
      <c r="D40" s="4">
        <f>COUNTIFS(HU_Caso!$A$2:$A$44,A40,HU_Caso!$D$2:$D$44,"Pasó")</f>
        <v/>
      </c>
      <c r="E40" s="4">
        <f>COUNTIFS(HU_Caso!$A$2:$A$44,A40,HU_Caso!$D$2:$D$44,"Falló")+COUNTIFS(HU_Caso!$A$2:$A$44,A40,HU_Caso!$D$2:$D$44,"Error")</f>
        <v/>
      </c>
      <c r="F40" s="4">
        <f>C40-D40-E40</f>
        <v/>
      </c>
    </row>
    <row r="41">
      <c r="A41" s="8" t="n">
        <v>251</v>
      </c>
      <c r="B41" s="4" t="inlineStr">
        <is>
          <t>HU 3.1.2 Ruta de aprendizaje</t>
        </is>
      </c>
      <c r="C41" s="4">
        <f>COUNTIF(HU_Caso!$A$2:$A$44,A41)</f>
        <v/>
      </c>
      <c r="D41" s="4">
        <f>COUNTIFS(HU_Caso!$A$2:$A$44,A41,HU_Caso!$D$2:$D$44,"Pasó")</f>
        <v/>
      </c>
      <c r="E41" s="4">
        <f>COUNTIFS(HU_Caso!$A$2:$A$44,A41,HU_Caso!$D$2:$D$44,"Falló")+COUNTIFS(HU_Caso!$A$2:$A$44,A41,HU_Caso!$D$2:$D$44,"Error")</f>
        <v/>
      </c>
      <c r="F41" s="4">
        <f>C41-D41-E41</f>
        <v/>
      </c>
    </row>
    <row r="42">
      <c r="A42" s="8" t="n">
        <v>257</v>
      </c>
      <c r="B42" s="4" t="inlineStr">
        <is>
          <t>HU 3.1.3 Actualizar recursos acádemicos</t>
        </is>
      </c>
      <c r="C42" s="4">
        <f>COUNTIF(HU_Caso!$A$2:$A$44,A42)</f>
        <v/>
      </c>
      <c r="D42" s="4">
        <f>COUNTIFS(HU_Caso!$A$2:$A$44,A42,HU_Caso!$D$2:$D$44,"Pasó")</f>
        <v/>
      </c>
      <c r="E42" s="4">
        <f>COUNTIFS(HU_Caso!$A$2:$A$44,A42,HU_Caso!$D$2:$D$44,"Falló")+COUNTIFS(HU_Caso!$A$2:$A$44,A42,HU_Caso!$D$2:$D$44,"Error")</f>
        <v/>
      </c>
      <c r="F42" s="4">
        <f>C42-D42-E42</f>
        <v/>
      </c>
    </row>
    <row r="43">
      <c r="A43" s="8" t="n">
        <v>262</v>
      </c>
      <c r="B43" s="4" t="inlineStr">
        <is>
          <t>HU 3.1.4 Reportes de contenido acádemico</t>
        </is>
      </c>
      <c r="C43" s="4">
        <f>COUNTIF(HU_Caso!$A$2:$A$44,A43)</f>
        <v/>
      </c>
      <c r="D43" s="4">
        <f>COUNTIFS(HU_Caso!$A$2:$A$44,A43,HU_Caso!$D$2:$D$44,"Pasó")</f>
        <v/>
      </c>
      <c r="E43" s="4">
        <f>COUNTIFS(HU_Caso!$A$2:$A$44,A43,HU_Caso!$D$2:$D$44,"Falló")+COUNTIFS(HU_Caso!$A$2:$A$44,A43,HU_Caso!$D$2:$D$44,"Error")</f>
        <v/>
      </c>
      <c r="F43" s="4">
        <f>C43-D43-E43</f>
        <v/>
      </c>
    </row>
    <row r="44">
      <c r="A44" s="8" t="n">
        <v>268</v>
      </c>
      <c r="B44" s="4" t="inlineStr">
        <is>
          <t>HU 3.2.1 Actualizar rutas de aprendizaje</t>
        </is>
      </c>
      <c r="C44" s="4">
        <f>COUNTIF(HU_Caso!$A$2:$A$44,A44)</f>
        <v/>
      </c>
      <c r="D44" s="4">
        <f>COUNTIFS(HU_Caso!$A$2:$A$44,A44,HU_Caso!$D$2:$D$44,"Pasó")</f>
        <v/>
      </c>
      <c r="E44" s="4">
        <f>COUNTIFS(HU_Caso!$A$2:$A$44,A44,HU_Caso!$D$2:$D$44,"Falló")+COUNTIFS(HU_Caso!$A$2:$A$44,A44,HU_Caso!$D$2:$D$44,"Error")</f>
        <v/>
      </c>
      <c r="F44" s="4">
        <f>C44-D44-E44</f>
        <v/>
      </c>
    </row>
    <row r="45">
      <c r="A45" s="8" t="n">
        <v>274</v>
      </c>
      <c r="B45" s="4" t="inlineStr">
        <is>
          <t>HU 3.2.2 Reportes por estudiante</t>
        </is>
      </c>
      <c r="C45" s="4">
        <f>COUNTIF(HU_Caso!$A$2:$A$44,A45)</f>
        <v/>
      </c>
      <c r="D45" s="4">
        <f>COUNTIFS(HU_Caso!$A$2:$A$44,A45,HU_Caso!$D$2:$D$44,"Pasó")</f>
        <v/>
      </c>
      <c r="E45" s="4">
        <f>COUNTIFS(HU_Caso!$A$2:$A$44,A45,HU_Caso!$D$2:$D$44,"Falló")+COUNTIFS(HU_Caso!$A$2:$A$44,A45,HU_Caso!$D$2:$D$44,"Error")</f>
        <v/>
      </c>
      <c r="F45" s="4">
        <f>C45-D45-E45</f>
        <v/>
      </c>
    </row>
    <row r="46">
      <c r="A46" s="8" t="n">
        <v>279</v>
      </c>
      <c r="B46" s="4" t="inlineStr">
        <is>
          <t>HU 3.2.3 Recepción de ruta de aprendizaje personalizada</t>
        </is>
      </c>
      <c r="C46" s="4">
        <f>COUNTIF(HU_Caso!$A$2:$A$44,A46)</f>
        <v/>
      </c>
      <c r="D46" s="4">
        <f>COUNTIFS(HU_Caso!$A$2:$A$44,A46,HU_Caso!$D$2:$D$44,"Pasó")</f>
        <v/>
      </c>
      <c r="E46" s="4">
        <f>COUNTIFS(HU_Caso!$A$2:$A$44,A46,HU_Caso!$D$2:$D$44,"Falló")+COUNTIFS(HU_Caso!$A$2:$A$44,A46,HU_Caso!$D$2:$D$44,"Error")</f>
        <v/>
      </c>
      <c r="F46" s="4">
        <f>C46-D46-E46</f>
        <v/>
      </c>
    </row>
    <row r="47">
      <c r="A47" s="8" t="n">
        <v>285</v>
      </c>
      <c r="B47" s="4" t="inlineStr">
        <is>
          <t>HU 3.2.4 Dar retrospectiva sobre contenido acádemico</t>
        </is>
      </c>
      <c r="C47" s="4">
        <f>COUNTIF(HU_Caso!$A$2:$A$44,A47)</f>
        <v/>
      </c>
      <c r="D47" s="4">
        <f>COUNTIFS(HU_Caso!$A$2:$A$44,A47,HU_Caso!$D$2:$D$44,"Pasó")</f>
        <v/>
      </c>
      <c r="E47" s="4">
        <f>COUNTIFS(HU_Caso!$A$2:$A$44,A47,HU_Caso!$D$2:$D$44,"Falló")+COUNTIFS(HU_Caso!$A$2:$A$44,A47,HU_Caso!$D$2:$D$44,"Error")</f>
        <v/>
      </c>
      <c r="F47" s="4">
        <f>C47-D47-E47</f>
        <v/>
      </c>
    </row>
    <row r="48">
      <c r="A48" s="8" t="n">
        <v>291</v>
      </c>
      <c r="B48" s="4" t="inlineStr">
        <is>
          <t>HU 4.1.1 Progreso de aprendizaje</t>
        </is>
      </c>
      <c r="C48" s="4">
        <f>COUNTIF(HU_Caso!$A$2:$A$44,A48)</f>
        <v/>
      </c>
      <c r="D48" s="4">
        <f>COUNTIFS(HU_Caso!$A$2:$A$44,A48,HU_Caso!$D$2:$D$44,"Pasó")</f>
        <v/>
      </c>
      <c r="E48" s="4">
        <f>COUNTIFS(HU_Caso!$A$2:$A$44,A48,HU_Caso!$D$2:$D$44,"Falló")+COUNTIFS(HU_Caso!$A$2:$A$44,A48,HU_Caso!$D$2:$D$44,"Error")</f>
        <v/>
      </c>
      <c r="F48" s="4">
        <f>C48-D48-E48</f>
        <v/>
      </c>
    </row>
    <row r="49">
      <c r="A49" s="8" t="n">
        <v>303</v>
      </c>
      <c r="B49" s="4" t="inlineStr">
        <is>
          <t>HU 4.1.3 Progreso de estudiantes desde Docente</t>
        </is>
      </c>
      <c r="C49" s="4">
        <f>COUNTIF(HU_Caso!$A$2:$A$44,A49)</f>
        <v/>
      </c>
      <c r="D49" s="4">
        <f>COUNTIFS(HU_Caso!$A$2:$A$44,A49,HU_Caso!$D$2:$D$44,"Pasó")</f>
        <v/>
      </c>
      <c r="E49" s="4">
        <f>COUNTIFS(HU_Caso!$A$2:$A$44,A49,HU_Caso!$D$2:$D$44,"Falló")+COUNTIFS(HU_Caso!$A$2:$A$44,A49,HU_Caso!$D$2:$D$44,"Error")</f>
        <v/>
      </c>
      <c r="F49" s="4">
        <f>C49-D49-E49</f>
        <v/>
      </c>
    </row>
    <row r="50">
      <c r="A50" s="8" t="n">
        <v>308</v>
      </c>
      <c r="B50" s="4" t="inlineStr">
        <is>
          <t>HU 4.2.1 Feedback por evaluación</t>
        </is>
      </c>
      <c r="C50" s="4">
        <f>COUNTIF(HU_Caso!$A$2:$A$44,A50)</f>
        <v/>
      </c>
      <c r="D50" s="4">
        <f>COUNTIFS(HU_Caso!$A$2:$A$44,A50,HU_Caso!$D$2:$D$44,"Pasó")</f>
        <v/>
      </c>
      <c r="E50" s="4">
        <f>COUNTIFS(HU_Caso!$A$2:$A$44,A50,HU_Caso!$D$2:$D$44,"Falló")+COUNTIFS(HU_Caso!$A$2:$A$44,A50,HU_Caso!$D$2:$D$44,"Error")</f>
        <v/>
      </c>
      <c r="F50" s="4">
        <f>C50-D50-E50</f>
        <v/>
      </c>
    </row>
    <row r="51">
      <c r="A51" s="8" t="n">
        <v>314</v>
      </c>
      <c r="B51" s="4" t="inlineStr">
        <is>
          <t>HU 4.2.2 Visualización de debilidades</t>
        </is>
      </c>
      <c r="C51" s="4">
        <f>COUNTIF(HU_Caso!$A$2:$A$44,A51)</f>
        <v/>
      </c>
      <c r="D51" s="4">
        <f>COUNTIFS(HU_Caso!$A$2:$A$44,A51,HU_Caso!$D$2:$D$44,"Pasó")</f>
        <v/>
      </c>
      <c r="E51" s="4">
        <f>COUNTIFS(HU_Caso!$A$2:$A$44,A51,HU_Caso!$D$2:$D$44,"Falló")+COUNTIFS(HU_Caso!$A$2:$A$44,A51,HU_Caso!$D$2:$D$44,"Error")</f>
        <v/>
      </c>
      <c r="F51" s="4">
        <f>C51-D51-E51</f>
        <v/>
      </c>
    </row>
    <row r="52">
      <c r="A52" s="8" t="n">
        <v>320</v>
      </c>
      <c r="B52" s="4" t="inlineStr">
        <is>
          <t>HU 4.2.3 Explicación de categorización</t>
        </is>
      </c>
      <c r="C52" s="4">
        <f>COUNTIF(HU_Caso!$A$2:$A$44,A52)</f>
        <v/>
      </c>
      <c r="D52" s="4">
        <f>COUNTIFS(HU_Caso!$A$2:$A$44,A52,HU_Caso!$D$2:$D$44,"Pasó")</f>
        <v/>
      </c>
      <c r="E52" s="4">
        <f>COUNTIFS(HU_Caso!$A$2:$A$44,A52,HU_Caso!$D$2:$D$44,"Falló")+COUNTIFS(HU_Caso!$A$2:$A$44,A52,HU_Caso!$D$2:$D$44,"Error")</f>
        <v/>
      </c>
      <c r="F52" s="4">
        <f>C52-D52-E52</f>
        <v/>
      </c>
    </row>
    <row r="54">
      <c r="A54" s="2" t="inlineStr">
        <is>
          <t>"Sin ejecutar" incluye los casos clasificados como No automatizable.</t>
        </is>
      </c>
    </row>
  </sheetData>
  <conditionalFormatting sqref="A5:A9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1" customWidth="1" min="3" max="3"/>
    <col width="40" customWidth="1" min="4" max="4"/>
    <col width="60" customWidth="1" min="5" max="5"/>
    <col width="45" customWidth="1" min="6" max="6"/>
    <col width="16" customWidth="1" min="7" max="7"/>
    <col width="34" customWidth="1" min="8" max="8"/>
    <col width="40" customWidth="1" min="9" max="9"/>
  </cols>
  <sheetData>
    <row r="1">
      <c r="A1" s="1" t="inlineStr">
        <is>
          <t>Hallazgos de las pruebas</t>
        </is>
      </c>
    </row>
    <row r="2">
      <c r="A2" s="2" t="inlineStr">
        <is>
          <t>Hallazgos obtenidos al ejecutar las pruebas automatizadas de Katalon contra https://itmentorsoft.com (defectos con caso FAILED y diferencias entre el requisito de Azure y la aplicación) (2026-10-23)</t>
        </is>
      </c>
    </row>
    <row r="4">
      <c r="A4" s="3" t="inlineStr">
        <is>
          <t>ID</t>
        </is>
      </c>
      <c r="B4" s="3" t="inlineStr">
        <is>
          <t>Categoría</t>
        </is>
      </c>
      <c r="C4" s="3" t="inlineStr">
        <is>
          <t>Severidad</t>
        </is>
      </c>
      <c r="D4" s="3" t="inlineStr">
        <is>
          <t>Hallazgo</t>
        </is>
      </c>
      <c r="E4" s="3" t="inlineStr">
        <is>
          <t>Detalle</t>
        </is>
      </c>
      <c r="F4" s="3" t="inlineStr">
        <is>
          <t>Evidencia</t>
        </is>
      </c>
      <c r="G4" s="3" t="inlineStr">
        <is>
          <t>Casos de Azure</t>
        </is>
      </c>
      <c r="H4" s="3" t="inlineStr">
        <is>
          <t>Estado</t>
        </is>
      </c>
      <c r="I4" s="3" t="inlineStr">
        <is>
          <t>Recomendación</t>
        </is>
      </c>
    </row>
    <row r="5">
      <c r="A5" s="9" t="inlineStr">
        <is>
          <t>D-01</t>
        </is>
      </c>
      <c r="B5" s="8" t="inlineStr">
        <is>
          <t>Seguridad</t>
        </is>
      </c>
      <c r="C5" s="10" t="inlineStr">
        <is>
          <t>Alta</t>
        </is>
      </c>
      <c r="D5" s="6" t="inlineStr">
        <is>
          <t>El token de acceso (JWT) vence a los 60 minutos y no a los 15 exigidos</t>
        </is>
      </c>
      <c r="E5" s="4" t="inlineStr">
        <is>
          <t>Tras un login completo con OTP, el claim exp del JWT de acceso queda 3597 s después del inicio de sesión, para Estudiante y Docente. La cookie access_token sí es HttpOnly y Secure y la redirección por rol es correcta.</t>
        </is>
      </c>
      <c r="F5" s="4" t="inlineStr">
        <is>
          <t>TC07: bitácora 'vigencia restante del token: 3597 s (esperado ≤ 900 s)'; capturas ESTUDIANTE_bienvenida y DOCENTE_bienvenida.</t>
        </is>
      </c>
      <c r="G5" s="4" t="inlineStr">
        <is>
          <t>485</t>
        </is>
      </c>
      <c r="H5" s="4" t="inlineStr">
        <is>
          <t>Confirmado en ejecución: TC07 FAILED.</t>
        </is>
      </c>
      <c r="I5" s="4" t="inlineStr">
        <is>
          <t>Configurar la vigencia del token de acceso en 15 minutos y renovarlo con el refresh token.</t>
        </is>
      </c>
    </row>
    <row r="6">
      <c r="A6" s="9" t="inlineStr">
        <is>
          <t>D-02</t>
        </is>
      </c>
      <c r="B6" s="8" t="inlineStr">
        <is>
          <t>Seguridad</t>
        </is>
      </c>
      <c r="C6" s="10" t="inlineStr">
        <is>
          <t>Alta</t>
        </is>
      </c>
      <c r="D6" s="6" t="inlineStr">
        <is>
          <t>El enlace de recuperación de contraseña sigue siendo válido después de 5 minutos</t>
        </is>
      </c>
      <c r="E6" s="4" t="inlineStr">
        <is>
          <t>Un enlace real de recuperación usado 357 s después de emitido permitió cambiar la contraseña ('Contraseña actualizada'). La interfaz y Azure indican 5 minutos de vigencia.</t>
        </is>
      </c>
      <c r="F6" s="4" t="inlineStr">
        <is>
          <t>TC09: bitácora 'Enlace real emitido a las 13:53:03 y usado a las 13:59:00 (357 s después de emitido)'; captura 04_enlace_real_vencido.</t>
        </is>
      </c>
      <c r="G6" s="4" t="inlineStr">
        <is>
          <t>486, 488</t>
        </is>
      </c>
      <c r="H6" s="4" t="inlineStr">
        <is>
          <t>Confirmado en ejecución: TC09 FAILED. Se envió la contraseña actual, por lo que no cambió.</t>
        </is>
      </c>
      <c r="I6" s="4" t="inlineStr">
        <is>
          <t>Expirar el token de recuperación a los 5 minutos en el backend y rechazarlo después.</t>
        </is>
      </c>
    </row>
    <row r="7">
      <c r="A7" s="9" t="inlineStr">
        <is>
          <t>D-03</t>
        </is>
      </c>
      <c r="B7" s="8" t="inlineStr">
        <is>
          <t>Funcional</t>
        </is>
      </c>
      <c r="C7" s="11" t="inlineStr">
        <is>
          <t>Media</t>
        </is>
      </c>
      <c r="D7" s="6" t="inlineStr">
        <is>
          <t>Las evaluaciones descartadas quedan registradas como realizadas</t>
        </is>
      </c>
      <c r="E7" s="4" t="inlineStr">
        <is>
          <t>Al descartar una evaluación en curso, el sistema la guarda con nota 0.0 y 'Sin clasificar'. Infla 'Evaluaciones realizadas', baja el promedio y altera la comparación con la evaluación anterior.</t>
        </is>
      </c>
      <c r="F7" s="4" t="inlineStr">
        <is>
          <t>TC11: el historial de la API pasó de 4 a 6 evaluaciones tras iniciar y descartar dos; captura 05_historial_tras_descartar.</t>
        </is>
      </c>
      <c r="G7" s="4" t="inlineStr">
        <is>
          <t>422, 434</t>
        </is>
      </c>
      <c r="H7" s="4" t="inlineStr">
        <is>
          <t>Confirmado en ejecución: TC11 FAILED.</t>
        </is>
      </c>
      <c r="I7" s="4" t="inlineStr">
        <is>
          <t>Eliminar (o no persistir como realizada) la evaluación al descartarla y excluirla de las estadísticas.</t>
        </is>
      </c>
    </row>
    <row r="8">
      <c r="A8" s="9" t="inlineStr">
        <is>
          <t>D-04</t>
        </is>
      </c>
      <c r="B8" s="8" t="inlineStr">
        <is>
          <t>Funcional</t>
        </is>
      </c>
      <c r="C8" s="12" t="inlineStr">
        <is>
          <t>Baja</t>
        </is>
      </c>
      <c r="D8" s="6" t="inlineStr">
        <is>
          <t>El correo de recuperación informa 30 minutos de vigencia y la pantalla 5</t>
        </is>
      </c>
      <c r="E8" s="4" t="inlineStr">
        <is>
          <t>El correo 'Solicitud de recuperación de contraseña' dice 'El enlace expirará en 30 minutos', mientras la pantalla de recuperación y Azure indican 5 minutos.</t>
        </is>
      </c>
      <c r="F8" s="4" t="inlineStr">
        <is>
          <t>Correo recibido en USUARIO_ESTUDIANTE tras ejecutar TC08 (2026-10-23 13:46 y 13:53).</t>
        </is>
      </c>
      <c r="G8" s="4" t="inlineStr">
        <is>
          <t>486</t>
        </is>
      </c>
      <c r="H8" s="4" t="inlineStr">
        <is>
          <t>Verificado en el correo recibido.</t>
        </is>
      </c>
      <c r="I8" s="4" t="inlineStr">
        <is>
          <t>Unificar el texto del correo con la vigencia real (5 minutos).</t>
        </is>
      </c>
    </row>
    <row r="9">
      <c r="A9" s="9" t="inlineStr">
        <is>
          <t>O-01</t>
        </is>
      </c>
      <c r="B9" s="8" t="inlineStr">
        <is>
          <t>Requisito</t>
        </is>
      </c>
      <c r="C9" s="12" t="inlineStr">
        <is>
          <t>Baja</t>
        </is>
      </c>
      <c r="D9" s="6" t="inlineStr">
        <is>
          <t>Sin mensaje de autorización al negar el acceso por rol</t>
        </is>
      </c>
      <c r="E9" s="4" t="inlineStr">
        <is>
          <t>Al Estudiante se le niega el banco de preguntas (API 403 y redirección a /login) pero no se muestra un mensaje de autorización.</t>
        </is>
      </c>
      <c r="F9" s="4" t="inlineStr">
        <is>
          <t>TC02: advertencia en el log de Katalon.</t>
        </is>
      </c>
      <c r="G9" s="4" t="inlineStr">
        <is>
          <t>466</t>
        </is>
      </c>
      <c r="H9" s="4" t="inlineStr">
        <is>
          <t>Advertencia (caso PASSED).</t>
        </is>
      </c>
      <c r="I9" s="4" t="inlineStr">
        <is>
          <t>Mostrar un mensaje de acceso no autorizado antes de redirigir.</t>
        </is>
      </c>
    </row>
    <row r="10">
      <c r="A10" s="9" t="inlineStr">
        <is>
          <t>O-02</t>
        </is>
      </c>
      <c r="B10" s="8" t="inlineStr">
        <is>
          <t>Requisito</t>
        </is>
      </c>
      <c r="C10" s="12" t="inlineStr">
        <is>
          <t>Baja</t>
        </is>
      </c>
      <c r="D10" s="6" t="inlineStr">
        <is>
          <t>La evaluación permite retroceder y saltar entre preguntas</t>
        </is>
      </c>
      <c r="E10" s="4" t="inlineStr">
        <is>
          <t>La interfaz ofrece 'Anterior' y el panel de preguntas; Azure dice 'sin permitir saltar ni retroceder'.</t>
        </is>
      </c>
      <c r="F10" s="4" t="inlineStr">
        <is>
          <t>TC03: advertencia en el log de Katalon.</t>
        </is>
      </c>
      <c r="G10" s="4" t="inlineStr">
        <is>
          <t>434</t>
        </is>
      </c>
      <c r="H10" s="4" t="inlineStr">
        <is>
          <t>Advertencia (caso PASSED).</t>
        </is>
      </c>
      <c r="I10" s="4" t="inlineStr">
        <is>
          <t>Confirmar con producto el comportamiento vigente y actualizar el requisito o la interfaz.</t>
        </is>
      </c>
    </row>
    <row r="11">
      <c r="A11" s="9" t="inlineStr">
        <is>
          <t>O-03</t>
        </is>
      </c>
      <c r="B11" s="8" t="inlineStr">
        <is>
          <t>Seguridad</t>
        </is>
      </c>
      <c r="C11" s="12" t="inlineStr">
        <is>
          <t>Baja</t>
        </is>
      </c>
      <c r="D11" s="6" t="inlineStr">
        <is>
          <t>Copia del JWT en sessionStorage</t>
        </is>
      </c>
      <c r="E11" s="4" t="inlineStr">
        <is>
          <t>Además de la cookie HttpOnly, el frontend guarda el JWT en sessionStorage ('auth_token'), accesible desde JavaScript.</t>
        </is>
      </c>
      <c r="F11" s="4" t="inlineStr">
        <is>
          <t>TC07: advertencia en el log de Katalon.</t>
        </is>
      </c>
      <c r="G11" s="4" t="inlineStr">
        <is>
          <t>485</t>
        </is>
      </c>
      <c r="H11" s="4" t="inlineStr">
        <is>
          <t>Advertencia.</t>
        </is>
      </c>
      <c r="I11" s="4" t="inlineStr">
        <is>
          <t>Usar solo la cookie HttpOnly para el token de acceso.</t>
        </is>
      </c>
    </row>
    <row r="12">
      <c r="A12" s="9" t="inlineStr">
        <is>
          <t>O-04</t>
        </is>
      </c>
      <c r="B12" s="8" t="inlineStr">
        <is>
          <t>Requisito</t>
        </is>
      </c>
      <c r="C12" s="12" t="inlineStr">
        <is>
          <t>Baja</t>
        </is>
      </c>
      <c r="D12" s="6" t="inlineStr">
        <is>
          <t>El banco de preguntas pagina de a 10 y no de a 20</t>
        </is>
      </c>
      <c r="E12" s="4" t="inlineStr">
        <is>
          <t>La tabla muestra 10 preguntas por página (6 páginas para 60 preguntas); Azure exige 20. Las vistas filtradas muestran todos los resultados sin paginar.</t>
        </is>
      </c>
      <c r="F12" s="4" t="inlineStr">
        <is>
          <t>TC20: bitácora 'Banco: 60 preguntas, 10 filas en la página 1, 6 páginas'.</t>
        </is>
      </c>
      <c r="G12" s="4" t="inlineStr">
        <is>
          <t>468</t>
        </is>
      </c>
      <c r="H12" s="4" t="inlineStr">
        <is>
          <t>Advertencia (caso PASSED).</t>
        </is>
      </c>
      <c r="I12" s="4" t="inlineStr">
        <is>
          <t>Ajustar el tamaño de página a 20 o actualizar el requisito.</t>
        </is>
      </c>
    </row>
    <row r="13">
      <c r="A13" s="9" t="inlineStr">
        <is>
          <t>O-05</t>
        </is>
      </c>
      <c r="B13" s="8" t="inlineStr">
        <is>
          <t>Requisito</t>
        </is>
      </c>
      <c r="C13" s="12" t="inlineStr">
        <is>
          <t>Baja</t>
        </is>
      </c>
      <c r="D13" s="6" t="inlineStr">
        <is>
          <t>Funciones de reportes descritas en Azure que la interfaz no ofrece</t>
        </is>
      </c>
      <c r="E13" s="4" t="inlineStr">
        <is>
          <t>No hay filtro por rango de fechas (#476), no se resaltan los recursos con promedio &lt; 3.5 (#440), no existe el consolidado de 'debilidad común' por tema (#444) ni la severidad alta/media de debilidades (#451).</t>
        </is>
      </c>
      <c r="F13" s="4" t="inlineStr">
        <is>
          <t>TC17, TC18 y TC13: advertencias en el log de Katalon.</t>
        </is>
      </c>
      <c r="G13" s="4" t="inlineStr">
        <is>
          <t>476, 440, 444, 451</t>
        </is>
      </c>
      <c r="H13" s="4" t="inlineStr">
        <is>
          <t>Advertencia (casos PASSED).</t>
        </is>
      </c>
      <c r="I13" s="4" t="inlineStr">
        <is>
          <t>Priorizar con producto o actualizar los criterios de aceptación.</t>
        </is>
      </c>
    </row>
    <row r="14">
      <c r="A14" s="9" t="inlineStr">
        <is>
          <t>O-06</t>
        </is>
      </c>
      <c r="B14" s="8" t="inlineStr">
        <is>
          <t>Requisito</t>
        </is>
      </c>
      <c r="C14" s="12" t="inlineStr">
        <is>
          <t>Baja</t>
        </is>
      </c>
      <c r="D14" s="6" t="inlineStr">
        <is>
          <t>Funciones de ruta de aprendizaje descritas en Azure que no existen</t>
        </is>
      </c>
      <c r="E14" s="4" t="inlineStr">
        <is>
          <t>Al finalizar un recurso no se ofrece la evaluación de seguimiento de 10 preguntas (#461) y la aplicación no registra intereses del estudiante (#446).</t>
        </is>
      </c>
      <c r="F14" s="4" t="inlineStr">
        <is>
          <t>TC14: advertencias en el log de Katalon.</t>
        </is>
      </c>
      <c r="G14" s="4" t="inlineStr">
        <is>
          <t>461, 446</t>
        </is>
      </c>
      <c r="H14" s="4" t="inlineStr">
        <is>
          <t>Advertencia (caso PASSED).</t>
        </is>
      </c>
      <c r="I14" s="4" t="inlineStr">
        <is>
          <t>Priorizar con producto o actualizar los criterios de aceptación.</t>
        </is>
      </c>
    </row>
    <row r="15">
      <c r="A15" s="9" t="inlineStr">
        <is>
          <t>O-07</t>
        </is>
      </c>
      <c r="B15" s="8" t="inlineStr">
        <is>
          <t>Requisito</t>
        </is>
      </c>
      <c r="C15" s="12" t="inlineStr">
        <is>
          <t>Baja</t>
        </is>
      </c>
      <c r="D15" s="6" t="inlineStr">
        <is>
          <t>Texto del mensaje genérico del login</t>
        </is>
      </c>
      <c r="E15" s="4" t="inlineStr">
        <is>
          <t>El mensaje es 'Correo o contraseña incorrectos.'; Azure indica 'Usuario o contraseña incorrectas'. Es genérico y no revela qué dato falló.</t>
        </is>
      </c>
      <c r="F15" s="4" t="inlineStr">
        <is>
          <t>TC04: advertencia en el log de Katalon.</t>
        </is>
      </c>
      <c r="G15" s="4" t="inlineStr">
        <is>
          <t>483</t>
        </is>
      </c>
      <c r="H15" s="4" t="inlineStr">
        <is>
          <t>Advertencia (caso PASSED).</t>
        </is>
      </c>
      <c r="I15" s="4" t="inlineStr">
        <is>
          <t>Alinear el texto con el requisito.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8" customWidth="1" min="2" max="2"/>
    <col width="34" customWidth="1" min="3" max="3"/>
    <col width="26" customWidth="1" min="4" max="4"/>
    <col width="18" customWidth="1" min="5" max="5"/>
    <col width="12" customWidth="1" min="6" max="6"/>
    <col width="46" customWidth="1" min="7" max="7"/>
    <col width="15" customWidth="1" min="8" max="8"/>
    <col width="11" customWidth="1" min="9" max="9"/>
    <col width="18" customWidth="1" min="10" max="10"/>
    <col width="22" customWidth="1" min="11" max="11"/>
    <col width="50" customWidth="1" min="12" max="12"/>
    <col width="40" customWidth="1" min="13" max="13"/>
    <col width="12" customWidth="1" min="14" max="14"/>
  </cols>
  <sheetData>
    <row r="1">
      <c r="A1" s="3" t="inlineStr">
        <is>
          <t>ID Azure</t>
        </is>
      </c>
      <c r="B1" s="3" t="inlineStr">
        <is>
          <t>Título</t>
        </is>
      </c>
      <c r="C1" s="3" t="inlineStr">
        <is>
          <t>HU</t>
        </is>
      </c>
      <c r="D1" s="3" t="inlineStr">
        <is>
          <t>Responsable</t>
        </is>
      </c>
      <c r="E1" s="3" t="inlineStr">
        <is>
          <t>Tipo</t>
        </is>
      </c>
      <c r="F1" s="3" t="inlineStr">
        <is>
          <t>Suite</t>
        </is>
      </c>
      <c r="G1" s="3" t="inlineStr">
        <is>
          <t>Caso Katalon</t>
        </is>
      </c>
      <c r="H1" s="3" t="inlineStr">
        <is>
          <t>Resultado</t>
        </is>
      </c>
      <c r="I1" s="3" t="inlineStr">
        <is>
          <t>Duración (s)</t>
        </is>
      </c>
      <c r="J1" s="3" t="inlineStr">
        <is>
          <t>Fecha ejecución</t>
        </is>
      </c>
      <c r="K1" s="3" t="inlineStr">
        <is>
          <t>Fuente del resultado</t>
        </is>
      </c>
      <c r="L1" s="3" t="inlineStr">
        <is>
          <t>Mensaje / observación</t>
        </is>
      </c>
      <c r="M1" s="3" t="inlineStr">
        <is>
          <t>Nota</t>
        </is>
      </c>
      <c r="N1" s="3" t="inlineStr">
        <is>
          <t>Hallazgos</t>
        </is>
      </c>
    </row>
    <row r="2">
      <c r="A2" s="13" t="n">
        <v>418</v>
      </c>
      <c r="B2" s="4" t="inlineStr">
        <is>
          <t>Verificar que se genera un reporte dada una categoria</t>
        </is>
      </c>
      <c r="C2" s="4" t="inlineStr">
        <is>
          <t>241 - HU 2.2.3 Reportes por categoría</t>
        </is>
      </c>
      <c r="D2" s="4" t="inlineStr">
        <is>
          <t>Yesid Alexander García López</t>
        </is>
      </c>
      <c r="E2" s="8" t="inlineStr">
        <is>
          <t>Automatizado</t>
        </is>
      </c>
      <c r="F2" s="4" t="inlineStr">
        <is>
          <t>TS_TC17</t>
        </is>
      </c>
      <c r="G2" s="4" t="inlineStr">
        <is>
          <t>TC17_AZ502_AZ476_AZ455_Reportes_graficos_y_filtro_por_nivel</t>
        </is>
      </c>
      <c r="H2" s="8" t="inlineStr">
        <is>
          <t>Pasó</t>
        </is>
      </c>
      <c r="I2" s="8" t="n">
        <v>47.8</v>
      </c>
      <c r="J2" s="8" t="inlineStr">
        <is>
          <t>2026-10-23 14:03:42</t>
        </is>
      </c>
      <c r="K2" s="4" t="inlineStr">
        <is>
          <t>Katalon (TS_TC17)</t>
        </is>
      </c>
      <c r="L2" s="4" t="inlineStr"/>
      <c r="M2" s="4" t="inlineStr"/>
      <c r="N2" s="4" t="inlineStr"/>
    </row>
    <row r="3">
      <c r="A3" s="13" t="n">
        <v>422</v>
      </c>
      <c r="B3" s="4" t="inlineStr">
        <is>
          <t>Validar el ingreso al módulo de realización de la evaluación inicial</t>
        </is>
      </c>
      <c r="C3" s="4" t="inlineStr">
        <is>
          <t>212 - HU 2.1.1 Desarrollo de evaluación</t>
        </is>
      </c>
      <c r="D3" s="4" t="inlineStr">
        <is>
          <t>Carlos Hernando Franco Idarraga</t>
        </is>
      </c>
      <c r="E3" s="8" t="inlineStr">
        <is>
          <t>Automatizado</t>
        </is>
      </c>
      <c r="F3" s="4" t="inlineStr">
        <is>
          <t>TS_TC11</t>
        </is>
      </c>
      <c r="G3" s="4" t="inlineStr">
        <is>
          <t>TC11_AZ422_Ingreso_al_modulo_de_evaluacion_inicial</t>
        </is>
      </c>
      <c r="H3" s="8" t="inlineStr">
        <is>
          <t>Falló</t>
        </is>
      </c>
      <c r="I3" s="8" t="n">
        <v>55.8</v>
      </c>
      <c r="J3" s="8" t="inlineStr">
        <is>
          <t>2026-10-23 14:32:20</t>
        </is>
      </c>
      <c r="K3" s="4" t="inlineStr">
        <is>
          <t>Katalon (TS_TC11)</t>
        </is>
      </c>
      <c r="L3" s="4" t="inlineStr">
        <is>
          <t>Test Cases/TC11_AZ422_Ingreso_al_modulo_de_evaluacion_inicial FAILED.</t>
        </is>
      </c>
      <c r="M3" s="4" t="inlineStr"/>
      <c r="N3" s="4" t="inlineStr">
        <is>
          <t>D-03</t>
        </is>
      </c>
    </row>
    <row r="4">
      <c r="A4" s="13" t="n">
        <v>426</v>
      </c>
      <c r="B4" s="4" t="inlineStr">
        <is>
          <t>Caso de prueba: CP-4.1.1 – Visualización y actualización del progreso de aprendizaje</t>
        </is>
      </c>
      <c r="C4" s="4" t="inlineStr">
        <is>
          <t>291 - HU 4.1.1 Progreso de aprendizaje</t>
        </is>
      </c>
      <c r="D4" s="4" t="inlineStr">
        <is>
          <t>Ivan Dario Valencia Correa</t>
        </is>
      </c>
      <c r="E4" s="8" t="inlineStr">
        <is>
          <t>Automatizado parcial</t>
        </is>
      </c>
      <c r="F4" s="4" t="inlineStr">
        <is>
          <t>TS_TC13</t>
        </is>
      </c>
      <c r="G4" s="4" t="inlineStr">
        <is>
          <t>TC13_AZ426_AZ451_AZ475_Progreso_perfil_y_categoria_del_estudiante</t>
        </is>
      </c>
      <c r="H4" s="8" t="inlineStr">
        <is>
          <t>Pasó</t>
        </is>
      </c>
      <c r="I4" s="8" t="n">
        <v>34.6</v>
      </c>
      <c r="J4" s="8" t="inlineStr">
        <is>
          <t>2026-10-23 14:26:17</t>
        </is>
      </c>
      <c r="K4" s="4" t="inlineStr">
        <is>
          <t>Katalon (TS_TC13)</t>
        </is>
      </c>
      <c r="L4" s="4" t="inlineStr"/>
      <c r="M4" s="4" t="inlineStr">
        <is>
          <t>Parcial: vista Mi progreso y avance de la ruta.</t>
        </is>
      </c>
      <c r="N4" s="4" t="inlineStr"/>
    </row>
    <row r="5">
      <c r="A5" s="13" t="n">
        <v>430</v>
      </c>
      <c r="B5" s="4" t="inlineStr">
        <is>
          <t>Verificar registro y actualización de contenido académico</t>
        </is>
      </c>
      <c r="C5" s="4" t="inlineStr">
        <is>
          <t>246 - HU 3.1.1 Registro de contenido acádemico</t>
        </is>
      </c>
      <c r="D5" s="4" t="inlineStr">
        <is>
          <t>Edison Estival Restrepo Ospina</t>
        </is>
      </c>
      <c r="E5" s="8" t="inlineStr">
        <is>
          <t>Automatizado parcial</t>
        </is>
      </c>
      <c r="F5" s="4" t="inlineStr">
        <is>
          <t>TS_TC19</t>
        </is>
      </c>
      <c r="G5" s="4" t="inlineStr">
        <is>
          <t>TC19_AZ430_Gestion_de_recursos_validaciones_y_consulta</t>
        </is>
      </c>
      <c r="H5" s="8" t="inlineStr">
        <is>
          <t>Pasó</t>
        </is>
      </c>
      <c r="I5" s="8" t="n">
        <v>61.9</v>
      </c>
      <c r="J5" s="8" t="inlineStr">
        <is>
          <t>2026-10-23 14:10:04</t>
        </is>
      </c>
      <c r="K5" s="4" t="inlineStr">
        <is>
          <t>Katalon (TS_TC19)</t>
        </is>
      </c>
      <c r="L5" s="4" t="inlineStr"/>
      <c r="M5" s="4" t="inlineStr">
        <is>
          <t>Parcial: no se guardan recursos para no alterar el catálogo compartido.</t>
        </is>
      </c>
      <c r="N5" s="4" t="inlineStr"/>
    </row>
    <row r="6">
      <c r="A6" s="13" t="n">
        <v>434</v>
      </c>
      <c r="B6" s="4" t="inlineStr">
        <is>
          <t>Validar interacción de preguntas de la evaluación inicial</t>
        </is>
      </c>
      <c r="C6" s="4" t="inlineStr">
        <is>
          <t>212 - HU 2.1.1 Desarrollo de evaluación</t>
        </is>
      </c>
      <c r="D6" s="4" t="inlineStr">
        <is>
          <t>Carlos Hernando Franco Idarraga</t>
        </is>
      </c>
      <c r="E6" s="8" t="inlineStr">
        <is>
          <t>Automatizado</t>
        </is>
      </c>
      <c r="F6" s="4" t="inlineStr">
        <is>
          <t>TS_TC03</t>
        </is>
      </c>
      <c r="G6" s="4" t="inlineStr">
        <is>
          <t>TC03_HU211_Evaluacion_inicial_secuencial_y_persistencia_de_respuestas</t>
        </is>
      </c>
      <c r="H6" s="8" t="inlineStr">
        <is>
          <t>Pasó</t>
        </is>
      </c>
      <c r="I6" s="8" t="n">
        <v>44.9</v>
      </c>
      <c r="J6" s="8" t="inlineStr">
        <is>
          <t>2026-10-23 14:37:13</t>
        </is>
      </c>
      <c r="K6" s="4" t="inlineStr">
        <is>
          <t>Katalon (TS_TC03)</t>
        </is>
      </c>
      <c r="L6" s="4" t="inlineStr"/>
      <c r="M6" s="4" t="inlineStr"/>
      <c r="N6" s="4" t="inlineStr">
        <is>
          <t>D-03, O-02</t>
        </is>
      </c>
    </row>
    <row r="7">
      <c r="A7" s="13" t="n">
        <v>435</v>
      </c>
      <c r="B7" s="4" t="inlineStr">
        <is>
          <t>Garantizar finalización de evaluación inicial</t>
        </is>
      </c>
      <c r="C7" s="4" t="inlineStr">
        <is>
          <t>212 - HU 2.1.1 Desarrollo de evaluación</t>
        </is>
      </c>
      <c r="D7" s="4" t="inlineStr">
        <is>
          <t>Carlos Hernando Franco Idarraga</t>
        </is>
      </c>
      <c r="E7" s="8" t="inlineStr">
        <is>
          <t>Automatizado</t>
        </is>
      </c>
      <c r="F7" s="4" t="inlineStr">
        <is>
          <t>TS_TC12</t>
        </is>
      </c>
      <c r="G7" s="4" t="inlineStr">
        <is>
          <t>TC12_AZ435_AZ457_Finalizacion_y_retroalimentacion_de_la_evaluacion</t>
        </is>
      </c>
      <c r="H7" s="8" t="inlineStr">
        <is>
          <t>Pasó</t>
        </is>
      </c>
      <c r="I7" s="8" t="n">
        <v>122.5</v>
      </c>
      <c r="J7" s="8" t="inlineStr">
        <is>
          <t>2026-10-23 14:16:40</t>
        </is>
      </c>
      <c r="K7" s="4" t="inlineStr">
        <is>
          <t>Katalon (TS_TC12)</t>
        </is>
      </c>
      <c r="L7" s="4" t="inlineStr"/>
      <c r="M7" s="4" t="inlineStr"/>
      <c r="N7" s="4" t="inlineStr"/>
    </row>
    <row r="8">
      <c r="A8" s="13" t="n">
        <v>436</v>
      </c>
      <c r="B8" s="4" t="inlineStr">
        <is>
          <t>Verificar generación y actualización de ruta de aprendizaje personalizada</t>
        </is>
      </c>
      <c r="C8" s="4" t="inlineStr">
        <is>
          <t>251 - HU 3.1.2 Ruta de aprendizaje</t>
        </is>
      </c>
      <c r="D8" s="4" t="inlineStr">
        <is>
          <t>Edison Estival Restrepo Ospina</t>
        </is>
      </c>
      <c r="E8" s="8" t="inlineStr">
        <is>
          <t>Automatizado parcial</t>
        </is>
      </c>
      <c r="F8" s="4" t="inlineStr">
        <is>
          <t>TS_TC14</t>
        </is>
      </c>
      <c r="G8" s="4" t="inlineStr">
        <is>
          <t>TC14_AZ436_AZ446_AZ461_Ruta_de_aprendizaje_y_recomendaciones</t>
        </is>
      </c>
      <c r="H8" s="8" t="inlineStr">
        <is>
          <t>Pasó</t>
        </is>
      </c>
      <c r="I8" s="8" t="n">
        <v>56.2</v>
      </c>
      <c r="J8" s="8" t="inlineStr">
        <is>
          <t>2026-10-23 14:27:31</t>
        </is>
      </c>
      <c r="K8" s="4" t="inlineStr">
        <is>
          <t>Katalon (TS_TC14)</t>
        </is>
      </c>
      <c r="L8" s="4" t="inlineStr"/>
      <c r="M8" s="4" t="inlineStr">
        <is>
          <t>Parcial: la notificación al administrador no es observable.</t>
        </is>
      </c>
      <c r="N8" s="4" t="inlineStr"/>
    </row>
    <row r="9">
      <c r="A9" s="13" t="n">
        <v>438</v>
      </c>
      <c r="B9" s="4" t="inlineStr">
        <is>
          <t>Verificar actualización y desactivación de recursos académicos</t>
        </is>
      </c>
      <c r="C9" s="4" t="inlineStr">
        <is>
          <t>257 - HU 3.1.3 Actualizar recursos acádemicos</t>
        </is>
      </c>
      <c r="D9" s="4" t="inlineStr">
        <is>
          <t>Edison Estival Restrepo Ospina</t>
        </is>
      </c>
      <c r="E9" s="8" t="inlineStr">
        <is>
          <t>No automatizable</t>
        </is>
      </c>
      <c r="F9" s="4" t="inlineStr"/>
      <c r="G9" s="4" t="inlineStr"/>
      <c r="H9" s="8" t="inlineStr">
        <is>
          <t>No automatizable</t>
        </is>
      </c>
      <c r="I9" s="8" t="n"/>
      <c r="J9" s="8" t="inlineStr"/>
      <c r="K9" s="4" t="inlineStr">
        <is>
          <t>Clasificación del inventario</t>
        </is>
      </c>
      <c r="L9" s="4" t="inlineStr"/>
      <c r="M9" s="4" t="inlineStr">
        <is>
          <t>Requiere rol Administrador (no hay cuenta). La denegación a otros roles se cubre en TC10.</t>
        </is>
      </c>
      <c r="N9" s="4" t="inlineStr"/>
    </row>
    <row r="10">
      <c r="A10" s="13" t="n">
        <v>440</v>
      </c>
      <c r="B10" s="4" t="inlineStr">
        <is>
          <t>Verificar generación de reportes de contenido académico</t>
        </is>
      </c>
      <c r="C10" s="4" t="inlineStr">
        <is>
          <t>262 - HU 3.1.4 Reportes de contenido acádemico</t>
        </is>
      </c>
      <c r="D10" s="4" t="inlineStr">
        <is>
          <t>Edison Estival Restrepo Ospina</t>
        </is>
      </c>
      <c r="E10" s="8" t="inlineStr">
        <is>
          <t>Automatizado parcial</t>
        </is>
      </c>
      <c r="F10" s="4" t="inlineStr">
        <is>
          <t>TS_TC18</t>
        </is>
      </c>
      <c r="G10" s="4" t="inlineStr">
        <is>
          <t>TC18_AZ440_AZ444_Reportes_de_recursos_y_banco_de_preguntas</t>
        </is>
      </c>
      <c r="H10" s="8" t="inlineStr">
        <is>
          <t>Pasó</t>
        </is>
      </c>
      <c r="I10" s="8" t="n">
        <v>89.3</v>
      </c>
      <c r="J10" s="8" t="inlineStr">
        <is>
          <t>2026-10-23 14:04:56</t>
        </is>
      </c>
      <c r="K10" s="4" t="inlineStr">
        <is>
          <t>Katalon (TS_TC18)</t>
        </is>
      </c>
      <c r="L10" s="4" t="inlineStr"/>
      <c r="M10" s="4" t="inlineStr">
        <is>
          <t>Parcial: no se resaltan promedios &lt; 3.5 (advertencia).</t>
        </is>
      </c>
      <c r="N10" s="4" t="inlineStr">
        <is>
          <t>O-05</t>
        </is>
      </c>
    </row>
    <row r="11">
      <c r="A11" s="13" t="n">
        <v>442</v>
      </c>
      <c r="B11" s="4" t="inlineStr">
        <is>
          <t>Verificar actualización de rutas de aprendizaje</t>
        </is>
      </c>
      <c r="C11" s="4" t="inlineStr">
        <is>
          <t>268 - HU 3.2.1 Actualizar rutas de aprendizaje</t>
        </is>
      </c>
      <c r="D11" s="4" t="inlineStr">
        <is>
          <t>Edison Estival Restrepo Ospina</t>
        </is>
      </c>
      <c r="E11" s="8" t="inlineStr">
        <is>
          <t>No automatizable</t>
        </is>
      </c>
      <c r="F11" s="4" t="inlineStr"/>
      <c r="G11" s="4" t="inlineStr"/>
      <c r="H11" s="8" t="inlineStr">
        <is>
          <t>No automatizable</t>
        </is>
      </c>
      <c r="I11" s="8" t="n"/>
      <c r="J11" s="8" t="inlineStr"/>
      <c r="K11" s="4" t="inlineStr">
        <is>
          <t>Clasificación del inventario</t>
        </is>
      </c>
      <c r="L11" s="4" t="inlineStr"/>
      <c r="M11" s="4" t="inlineStr">
        <is>
          <t>La aplicación no ofrece al docente un módulo de rutas: se generan automáticamente.</t>
        </is>
      </c>
      <c r="N11" s="4" t="inlineStr"/>
    </row>
    <row r="12">
      <c r="A12" s="13" t="n">
        <v>444</v>
      </c>
      <c r="B12" s="4" t="inlineStr">
        <is>
          <t>Verificar generación de reportes de debilidades por estudiant</t>
        </is>
      </c>
      <c r="C12" s="4" t="inlineStr">
        <is>
          <t>274 - HU 3.2.2 Reportes por estudiante</t>
        </is>
      </c>
      <c r="D12" s="4" t="inlineStr">
        <is>
          <t>Edison Estival Restrepo Ospina</t>
        </is>
      </c>
      <c r="E12" s="8" t="inlineStr">
        <is>
          <t>Automatizado parcial</t>
        </is>
      </c>
      <c r="F12" s="4" t="inlineStr">
        <is>
          <t>TS_TC18</t>
        </is>
      </c>
      <c r="G12" s="4" t="inlineStr">
        <is>
          <t>TC18_AZ440_AZ444_Reportes_de_recursos_y_banco_de_preguntas</t>
        </is>
      </c>
      <c r="H12" s="8" t="inlineStr">
        <is>
          <t>Pasó</t>
        </is>
      </c>
      <c r="I12" s="8" t="n">
        <v>89.3</v>
      </c>
      <c r="J12" s="8" t="inlineStr">
        <is>
          <t>2026-10-23 14:04:56</t>
        </is>
      </c>
      <c r="K12" s="4" t="inlineStr">
        <is>
          <t>Katalon (TS_TC18)</t>
        </is>
      </c>
      <c r="L12" s="4" t="inlineStr"/>
      <c r="M12" s="4" t="inlineStr">
        <is>
          <t>Parcial: no existe el consolidado de "debilidad común" (advertencia).</t>
        </is>
      </c>
      <c r="N12" s="4" t="inlineStr">
        <is>
          <t>O-05</t>
        </is>
      </c>
    </row>
    <row r="13">
      <c r="A13" s="13" t="n">
        <v>446</v>
      </c>
      <c r="B13" s="4" t="inlineStr">
        <is>
          <t>Verificar recepción de ruta de aprendizaje personalizada</t>
        </is>
      </c>
      <c r="C13" s="4" t="inlineStr">
        <is>
          <t>279 - HU 3.2.3 Recepción de ruta de aprendizaje personalizada</t>
        </is>
      </c>
      <c r="D13" s="4" t="inlineStr">
        <is>
          <t>Edison Estival Restrepo Ospina</t>
        </is>
      </c>
      <c r="E13" s="8" t="inlineStr">
        <is>
          <t>Automatizado parcial</t>
        </is>
      </c>
      <c r="F13" s="4" t="inlineStr">
        <is>
          <t>TS_TC14</t>
        </is>
      </c>
      <c r="G13" s="4" t="inlineStr">
        <is>
          <t>TC14_AZ436_AZ446_AZ461_Ruta_de_aprendizaje_y_recomendaciones</t>
        </is>
      </c>
      <c r="H13" s="8" t="inlineStr">
        <is>
          <t>Pasó</t>
        </is>
      </c>
      <c r="I13" s="8" t="n">
        <v>56.2</v>
      </c>
      <c r="J13" s="8" t="inlineStr">
        <is>
          <t>2026-10-23 14:27:31</t>
        </is>
      </c>
      <c r="K13" s="4" t="inlineStr">
        <is>
          <t>Katalon (TS_TC14)</t>
        </is>
      </c>
      <c r="L13" s="4" t="inlineStr"/>
      <c r="M13" s="4" t="inlineStr">
        <is>
          <t>Parcial: la aplicación no registra intereses del estudiante.</t>
        </is>
      </c>
      <c r="N13" s="4" t="inlineStr">
        <is>
          <t>O-06</t>
        </is>
      </c>
    </row>
    <row r="14">
      <c r="A14" s="13" t="n">
        <v>448</v>
      </c>
      <c r="B14" s="4" t="inlineStr">
        <is>
          <t>Verificar calificación de recursos recomendados</t>
        </is>
      </c>
      <c r="C14" s="4" t="inlineStr">
        <is>
          <t>285 - HU 3.2.4 Dar retrospectiva sobre contenido acádemico</t>
        </is>
      </c>
      <c r="D14" s="4" t="inlineStr">
        <is>
          <t>Edison Estival Restrepo Ospina</t>
        </is>
      </c>
      <c r="E14" s="8" t="inlineStr">
        <is>
          <t>Automatizado</t>
        </is>
      </c>
      <c r="F14" s="4" t="inlineStr">
        <is>
          <t>TS_TC15</t>
        </is>
      </c>
      <c r="G14" s="4" t="inlineStr">
        <is>
          <t>TC15_AZ448_Calificacion_de_recursos_recomendados</t>
        </is>
      </c>
      <c r="H14" s="8" t="inlineStr">
        <is>
          <t>Pasó</t>
        </is>
      </c>
      <c r="I14" s="8" t="n">
        <v>49.3</v>
      </c>
      <c r="J14" s="8" t="inlineStr">
        <is>
          <t>2026-10-23 14:30:36</t>
        </is>
      </c>
      <c r="K14" s="4" t="inlineStr">
        <is>
          <t>Katalon (TS_TC15)</t>
        </is>
      </c>
      <c r="L14" s="4" t="inlineStr"/>
      <c r="M14" s="4" t="inlineStr"/>
      <c r="N14" s="4" t="inlineStr"/>
    </row>
    <row r="15">
      <c r="A15" s="13" t="n">
        <v>450</v>
      </c>
      <c r="B15" s="4" t="inlineStr">
        <is>
          <t>Verificar acceso autorizado a reportes por estudiante</t>
        </is>
      </c>
      <c r="C15" s="4" t="inlineStr">
        <is>
          <t>274 - HU 3.2.2 Reportes por estudiante</t>
        </is>
      </c>
      <c r="D15" s="4" t="inlineStr">
        <is>
          <t>Edison Estival Restrepo Ospina</t>
        </is>
      </c>
      <c r="E15" s="8" t="inlineStr">
        <is>
          <t>Automatizado</t>
        </is>
      </c>
      <c r="F15" s="4" t="inlineStr">
        <is>
          <t>TS_TC16</t>
        </is>
      </c>
      <c r="G15" s="4" t="inlineStr">
        <is>
          <t>TC16_AZ450_AZ500_Acceso_por_rol_a_reportes_y_datos_consolidados</t>
        </is>
      </c>
      <c r="H15" s="8" t="inlineStr">
        <is>
          <t>Pasó</t>
        </is>
      </c>
      <c r="I15" s="8" t="n">
        <v>46.8</v>
      </c>
      <c r="J15" s="8" t="inlineStr">
        <is>
          <t>2026-10-23 14:02:30</t>
        </is>
      </c>
      <c r="K15" s="4" t="inlineStr">
        <is>
          <t>Katalon (TS_TC16)</t>
        </is>
      </c>
      <c r="L15" s="4" t="inlineStr"/>
      <c r="M15" s="4" t="inlineStr"/>
      <c r="N15" s="4" t="inlineStr"/>
    </row>
    <row r="16">
      <c r="A16" s="13" t="n">
        <v>451</v>
      </c>
      <c r="B16" s="4" t="inlineStr">
        <is>
          <t>Caso de prueba: CP-4.2.2 – Identificación, clasificación y actualización de debilidades</t>
        </is>
      </c>
      <c r="C16" s="4" t="inlineStr">
        <is>
          <t>314 - HU 4.2.2 Visualización de debilidades</t>
        </is>
      </c>
      <c r="D16" s="4" t="inlineStr">
        <is>
          <t>Ivan Dario Valencia Correa</t>
        </is>
      </c>
      <c r="E16" s="8" t="inlineStr">
        <is>
          <t>Automatizado parcial</t>
        </is>
      </c>
      <c r="F16" s="4" t="inlineStr">
        <is>
          <t>TS_TC13</t>
        </is>
      </c>
      <c r="G16" s="4" t="inlineStr">
        <is>
          <t>TC13_AZ426_AZ451_AZ475_Progreso_perfil_y_categoria_del_estudiante</t>
        </is>
      </c>
      <c r="H16" s="8" t="inlineStr">
        <is>
          <t>Pasó</t>
        </is>
      </c>
      <c r="I16" s="8" t="n">
        <v>34.6</v>
      </c>
      <c r="J16" s="8" t="inlineStr">
        <is>
          <t>2026-10-23 14:26:17</t>
        </is>
      </c>
      <c r="K16" s="4" t="inlineStr">
        <is>
          <t>Katalon (TS_TC13)</t>
        </is>
      </c>
      <c r="L16" s="4" t="inlineStr"/>
      <c r="M16" s="4" t="inlineStr">
        <is>
          <t>Parcial: no se muestra la severidad alta/media.</t>
        </is>
      </c>
      <c r="N16" s="4" t="inlineStr">
        <is>
          <t>O-05</t>
        </is>
      </c>
    </row>
    <row r="17">
      <c r="A17" s="13" t="n">
        <v>455</v>
      </c>
      <c r="B17" s="4" t="inlineStr">
        <is>
          <t>Caso de prueba: CP-4.1.3 – Consulta y filtrado del progreso de estudiantes desde el dashboard docente</t>
        </is>
      </c>
      <c r="C17" s="4" t="inlineStr">
        <is>
          <t>303 - HU 4.1.3 Progreso de estudiantes desde Docente</t>
        </is>
      </c>
      <c r="D17" s="4" t="inlineStr">
        <is>
          <t>Ivan Dario Valencia Correa</t>
        </is>
      </c>
      <c r="E17" s="8" t="inlineStr">
        <is>
          <t>Automatizado</t>
        </is>
      </c>
      <c r="F17" s="4" t="inlineStr">
        <is>
          <t>TS_TC17</t>
        </is>
      </c>
      <c r="G17" s="4" t="inlineStr">
        <is>
          <t>TC17_AZ502_AZ476_AZ455_Reportes_graficos_y_filtro_por_nivel</t>
        </is>
      </c>
      <c r="H17" s="8" t="inlineStr">
        <is>
          <t>Pasó</t>
        </is>
      </c>
      <c r="I17" s="8" t="n">
        <v>47.8</v>
      </c>
      <c r="J17" s="8" t="inlineStr">
        <is>
          <t>2026-10-23 14:03:42</t>
        </is>
      </c>
      <c r="K17" s="4" t="inlineStr">
        <is>
          <t>Katalon (TS_TC17)</t>
        </is>
      </c>
      <c r="L17" s="4" t="inlineStr"/>
      <c r="M17" s="4" t="inlineStr"/>
      <c r="N17" s="4" t="inlineStr"/>
    </row>
    <row r="18">
      <c r="A18" s="13" t="n">
        <v>457</v>
      </c>
      <c r="B18" s="4" t="inlineStr">
        <is>
          <t>Caso de prueba: CP-4.2.1 – Generación y consulta de retroalimentación de una evaluación</t>
        </is>
      </c>
      <c r="C18" s="4" t="inlineStr">
        <is>
          <t>308 - HU 4.2.1 Feedback por evaluación</t>
        </is>
      </c>
      <c r="D18" s="4" t="inlineStr">
        <is>
          <t>Ivan Dario Valencia Correa</t>
        </is>
      </c>
      <c r="E18" s="8" t="inlineStr">
        <is>
          <t>Automatizado</t>
        </is>
      </c>
      <c r="F18" s="4" t="inlineStr">
        <is>
          <t>TS_TC12</t>
        </is>
      </c>
      <c r="G18" s="4" t="inlineStr">
        <is>
          <t>TC12_AZ435_AZ457_Finalizacion_y_retroalimentacion_de_la_evaluacion</t>
        </is>
      </c>
      <c r="H18" s="8" t="inlineStr">
        <is>
          <t>Pasó</t>
        </is>
      </c>
      <c r="I18" s="8" t="n">
        <v>122.5</v>
      </c>
      <c r="J18" s="8" t="inlineStr">
        <is>
          <t>2026-10-23 14:16:40</t>
        </is>
      </c>
      <c r="K18" s="4" t="inlineStr">
        <is>
          <t>Katalon (TS_TC12)</t>
        </is>
      </c>
      <c r="L18" s="4" t="inlineStr"/>
      <c r="M18" s="4" t="inlineStr"/>
      <c r="N18" s="4" t="inlineStr"/>
    </row>
    <row r="19">
      <c r="A19" s="13" t="n">
        <v>459</v>
      </c>
      <c r="B19" s="4" t="inlineStr">
        <is>
          <t>Caso de prueba: CP-4.2.3 – Generación y visualización de la explicación de categorización</t>
        </is>
      </c>
      <c r="C19" s="4" t="inlineStr">
        <is>
          <t>320 - HU 4.2.3 Explicación de categorización</t>
        </is>
      </c>
      <c r="D19" s="4" t="inlineStr">
        <is>
          <t>Ivan Dario Valencia Correa</t>
        </is>
      </c>
      <c r="E19" s="8" t="inlineStr">
        <is>
          <t>Automatizado parcial</t>
        </is>
      </c>
      <c r="F19" s="4" t="inlineStr">
        <is>
          <t>TS_TC13</t>
        </is>
      </c>
      <c r="G19" s="4" t="inlineStr">
        <is>
          <t>TC13_AZ426_AZ451_AZ475_Progreso_perfil_y_categoria_del_estudiante</t>
        </is>
      </c>
      <c r="H19" s="8" t="inlineStr">
        <is>
          <t>Pasó</t>
        </is>
      </c>
      <c r="I19" s="8" t="n">
        <v>34.6</v>
      </c>
      <c r="J19" s="8" t="inlineStr">
        <is>
          <t>2026-10-23 14:26:17</t>
        </is>
      </c>
      <c r="K19" s="4" t="inlineStr">
        <is>
          <t>Katalon (TS_TC13)</t>
        </is>
      </c>
      <c r="L19" s="4" t="inlineStr"/>
      <c r="M19" s="4" t="inlineStr">
        <is>
          <t>Parcial: las variables del modelo no son observables.</t>
        </is>
      </c>
      <c r="N19" s="4" t="inlineStr"/>
    </row>
    <row r="20">
      <c r="A20" s="13" t="n">
        <v>461</v>
      </c>
      <c r="B20" s="4" t="inlineStr">
        <is>
          <t>Validar confirmación de recurso finalizado y selección exacta de 10 preguntas aleatorias</t>
        </is>
      </c>
      <c r="C20" s="4" t="inlineStr">
        <is>
          <t>218 - HU 2.1.2 Evaluación de un tema especifico</t>
        </is>
      </c>
      <c r="D20" s="4" t="inlineStr">
        <is>
          <t>Carlos Hernando Franco Idarraga</t>
        </is>
      </c>
      <c r="E20" s="8" t="inlineStr">
        <is>
          <t>Automatizado parcial</t>
        </is>
      </c>
      <c r="F20" s="4" t="inlineStr">
        <is>
          <t>TS_TC14</t>
        </is>
      </c>
      <c r="G20" s="4" t="inlineStr">
        <is>
          <t>TC14_AZ436_AZ446_AZ461_Ruta_de_aprendizaje_y_recomendaciones</t>
        </is>
      </c>
      <c r="H20" s="8" t="inlineStr">
        <is>
          <t>Pasó</t>
        </is>
      </c>
      <c r="I20" s="8" t="n">
        <v>56.2</v>
      </c>
      <c r="J20" s="8" t="inlineStr">
        <is>
          <t>2026-10-23 14:27:31</t>
        </is>
      </c>
      <c r="K20" s="4" t="inlineStr">
        <is>
          <t>Katalon (TS_TC14)</t>
        </is>
      </c>
      <c r="L20" s="4" t="inlineStr"/>
      <c r="M20" s="4" t="inlineStr">
        <is>
          <t>Parcial: no existe la evaluación de seguimiento de 10 preguntas.</t>
        </is>
      </c>
      <c r="N20" s="4" t="inlineStr">
        <is>
          <t>O-06</t>
        </is>
      </c>
    </row>
    <row r="21">
      <c r="A21" s="13" t="n">
        <v>465</v>
      </c>
      <c r="B21" s="4" t="inlineStr">
        <is>
          <t>Verificar recalificación de nivel y visualización de gráfica comparativa de progreso histórico</t>
        </is>
      </c>
      <c r="C21" s="4" t="inlineStr">
        <is>
          <t>218 - HU 2.1.2 Evaluación de un tema especifico</t>
        </is>
      </c>
      <c r="D21" s="4" t="inlineStr">
        <is>
          <t>Carlos Hernando Franco Idarraga</t>
        </is>
      </c>
      <c r="E21" s="8" t="inlineStr">
        <is>
          <t>Automatizado parcial</t>
        </is>
      </c>
      <c r="F21" s="4" t="inlineStr">
        <is>
          <t>TS_TC13</t>
        </is>
      </c>
      <c r="G21" s="4" t="inlineStr">
        <is>
          <t>TC13_AZ426_AZ451_AZ475_Progreso_perfil_y_categoria_del_estudiante</t>
        </is>
      </c>
      <c r="H21" s="8" t="inlineStr">
        <is>
          <t>Pasó</t>
        </is>
      </c>
      <c r="I21" s="8" t="n">
        <v>34.6</v>
      </c>
      <c r="J21" s="8" t="inlineStr">
        <is>
          <t>2026-10-23 14:26:17</t>
        </is>
      </c>
      <c r="K21" s="4" t="inlineStr">
        <is>
          <t>Katalon (TS_TC13)</t>
        </is>
      </c>
      <c r="L21" s="4" t="inlineStr"/>
      <c r="M21" s="4" t="inlineStr">
        <is>
          <t>Parcial: la recalificación requiere varias evaluaciones de seguimiento.</t>
        </is>
      </c>
      <c r="N21" s="4" t="inlineStr"/>
    </row>
    <row r="22">
      <c r="A22" s="13" t="n">
        <v>466</v>
      </c>
      <c r="B22" s="4" t="inlineStr">
        <is>
          <t>Verificar restricción de acceso al módulo de administración de evaluaciones según el rol del usuario</t>
        </is>
      </c>
      <c r="C22" s="4" t="inlineStr">
        <is>
          <t>224 - HU 2.1.3 Creación de rubricas</t>
        </is>
      </c>
      <c r="D22" s="4" t="inlineStr">
        <is>
          <t>Carlos Hernando Franco Idarraga</t>
        </is>
      </c>
      <c r="E22" s="8" t="inlineStr">
        <is>
          <t>Automatizado</t>
        </is>
      </c>
      <c r="F22" s="4" t="inlineStr">
        <is>
          <t>TS_TC02</t>
        </is>
      </c>
      <c r="G22" s="4" t="inlineStr">
        <is>
          <t>TC02_HU213_Restriccion_acceso_por_rol_a_administracion_de_evaluaciones</t>
        </is>
      </c>
      <c r="H22" s="8" t="inlineStr">
        <is>
          <t>Pasó</t>
        </is>
      </c>
      <c r="I22" s="8" t="n">
        <v>50.8</v>
      </c>
      <c r="J22" s="8" t="inlineStr">
        <is>
          <t>2026-10-23 14:35:59</t>
        </is>
      </c>
      <c r="K22" s="4" t="inlineStr">
        <is>
          <t>Katalon (TS_TC02)</t>
        </is>
      </c>
      <c r="L22" s="4" t="inlineStr"/>
      <c r="M22" s="4" t="inlineStr"/>
      <c r="N22" s="4" t="inlineStr">
        <is>
          <t>O-01</t>
        </is>
      </c>
    </row>
    <row r="23">
      <c r="A23" s="13" t="n">
        <v>468</v>
      </c>
      <c r="B23" s="4" t="inlineStr">
        <is>
          <t>Validar paginación exacta de 20 preguntas por tema y persistencia de operaciones CRUD en cuestionarios</t>
        </is>
      </c>
      <c r="C23" s="4" t="inlineStr">
        <is>
          <t>224 - HU 2.1.3 Creación de rubricas</t>
        </is>
      </c>
      <c r="D23" s="4" t="inlineStr">
        <is>
          <t>Carlos Hernando Franco Idarraga</t>
        </is>
      </c>
      <c r="E23" s="8" t="inlineStr">
        <is>
          <t>Automatizado parcial</t>
        </is>
      </c>
      <c r="F23" s="4" t="inlineStr">
        <is>
          <t>TS_TC20</t>
        </is>
      </c>
      <c r="G23" s="4" t="inlineStr">
        <is>
          <t>TC20_AZ468_Banco_de_preguntas_paginacion_filtros_y_versiones</t>
        </is>
      </c>
      <c r="H23" s="8" t="inlineStr">
        <is>
          <t>Pasó</t>
        </is>
      </c>
      <c r="I23" s="8" t="n">
        <v>75.59999999999999</v>
      </c>
      <c r="J23" s="8" t="inlineStr">
        <is>
          <t>2026-10-23 14:11:39</t>
        </is>
      </c>
      <c r="K23" s="4" t="inlineStr">
        <is>
          <t>Katalon (TS_TC20)</t>
        </is>
      </c>
      <c r="L23" s="4" t="inlineStr"/>
      <c r="M23" s="4" t="inlineStr">
        <is>
          <t>Parcial: pagina de a 10 (Azure: 20); no se crean ni editan preguntas.</t>
        </is>
      </c>
      <c r="N23" s="4" t="inlineStr">
        <is>
          <t>O-04</t>
        </is>
      </c>
    </row>
    <row r="24">
      <c r="A24" s="13" t="n">
        <v>469</v>
      </c>
      <c r="B24" s="4" t="inlineStr">
        <is>
          <t>Validar la generación de JSON y asignación de categoría única por el modelo de ML</t>
        </is>
      </c>
      <c r="C24" s="4" t="inlineStr">
        <is>
          <t>228 - HU 2.2.1 Asignación de categoría</t>
        </is>
      </c>
      <c r="D24" s="4" t="inlineStr">
        <is>
          <t>Carlos Hernando Franco Idarraga</t>
        </is>
      </c>
      <c r="E24" s="8" t="inlineStr">
        <is>
          <t>No automatizable</t>
        </is>
      </c>
      <c r="F24" s="4" t="inlineStr"/>
      <c r="G24" s="4" t="inlineStr"/>
      <c r="H24" s="8" t="inlineStr">
        <is>
          <t>No automatizable</t>
        </is>
      </c>
      <c r="I24" s="8" t="n"/>
      <c r="J24" s="8" t="inlineStr"/>
      <c r="K24" s="4" t="inlineStr">
        <is>
          <t>Clasificación del inventario</t>
        </is>
      </c>
      <c r="L24" s="4" t="inlineStr"/>
      <c r="M24" s="4" t="inlineStr">
        <is>
          <t>Interno del modelo de ML. Evidencia indirecta en TC12/TC13 (un único nivel asignado).</t>
        </is>
      </c>
      <c r="N24" s="4" t="inlineStr"/>
    </row>
    <row r="25">
      <c r="A25" s="13" t="n">
        <v>471</v>
      </c>
      <c r="B25" s="4" t="inlineStr">
        <is>
          <t>Verificar la resiliencia del sistema ante fallos de ejecución del modelo de ML o fallos de base de datos</t>
        </is>
      </c>
      <c r="C25" s="4" t="inlineStr">
        <is>
          <t>228 - HU 2.2.1 Asignación de categoría</t>
        </is>
      </c>
      <c r="D25" s="4" t="inlineStr">
        <is>
          <t>Carlos Hernando Franco Idarraga</t>
        </is>
      </c>
      <c r="E25" s="8" t="inlineStr">
        <is>
          <t>No automatizable</t>
        </is>
      </c>
      <c r="F25" s="4" t="inlineStr"/>
      <c r="G25" s="4" t="inlineStr"/>
      <c r="H25" s="8" t="inlineStr">
        <is>
          <t>No automatizable</t>
        </is>
      </c>
      <c r="I25" s="8" t="n"/>
      <c r="J25" s="8" t="inlineStr"/>
      <c r="K25" s="4" t="inlineStr">
        <is>
          <t>Clasificación del inventario</t>
        </is>
      </c>
      <c r="L25" s="4" t="inlineStr"/>
      <c r="M25" s="4" t="inlineStr">
        <is>
          <t>Requiere inyectar fallos en la infraestructura del entorno.</t>
        </is>
      </c>
      <c r="N25" s="4" t="inlineStr"/>
    </row>
    <row r="26">
      <c r="A26" s="13" t="n">
        <v>472</v>
      </c>
      <c r="B26" s="4" t="inlineStr">
        <is>
          <t>Validar actualización de categoría, conservación de histórico de versiones y notificación al perfil</t>
        </is>
      </c>
      <c r="C26" s="4" t="inlineStr">
        <is>
          <t>228 - HU 2.2.1 Asignación de categoría</t>
        </is>
      </c>
      <c r="D26" s="4" t="inlineStr">
        <is>
          <t>Carlos Hernando Franco Idarraga</t>
        </is>
      </c>
      <c r="E26" s="8" t="inlineStr">
        <is>
          <t>No automatizable</t>
        </is>
      </c>
      <c r="F26" s="4" t="inlineStr"/>
      <c r="G26" s="4" t="inlineStr"/>
      <c r="H26" s="8" t="inlineStr">
        <is>
          <t>No automatizable</t>
        </is>
      </c>
      <c r="I26" s="8" t="n"/>
      <c r="J26" s="8" t="inlineStr"/>
      <c r="K26" s="4" t="inlineStr">
        <is>
          <t>Clasificación del inventario</t>
        </is>
      </c>
      <c r="L26" s="4" t="inlineStr"/>
      <c r="M26" s="4" t="inlineStr">
        <is>
          <t>Requiere varias reclasificaciones y acceso al histórico del modelo.</t>
        </is>
      </c>
      <c r="N26" s="4" t="inlineStr"/>
    </row>
    <row r="27">
      <c r="A27" s="13" t="n">
        <v>473</v>
      </c>
      <c r="B27" s="4" t="inlineStr">
        <is>
          <t>Validar regla de al menos 3 objetivos por categoría y alerta de objetivos no asignados en CRUD</t>
        </is>
      </c>
      <c r="C27" s="4" t="inlineStr">
        <is>
          <t>235 - HU 2.2.2 Identificación de debilidades</t>
        </is>
      </c>
      <c r="D27" s="4" t="inlineStr">
        <is>
          <t>Carlos Hernando Franco Idarraga</t>
        </is>
      </c>
      <c r="E27" s="8" t="inlineStr">
        <is>
          <t>No automatizable</t>
        </is>
      </c>
      <c r="F27" s="4" t="inlineStr"/>
      <c r="G27" s="4" t="inlineStr"/>
      <c r="H27" s="8" t="inlineStr">
        <is>
          <t>No automatizable</t>
        </is>
      </c>
      <c r="I27" s="8" t="n"/>
      <c r="J27" s="8" t="inlineStr"/>
      <c r="K27" s="4" t="inlineStr">
        <is>
          <t>Clasificación del inventario</t>
        </is>
      </c>
      <c r="L27" s="4" t="inlineStr"/>
      <c r="M27" s="4" t="inlineStr">
        <is>
          <t>Configuración de categorías y objetivos reservada al Administrador.</t>
        </is>
      </c>
      <c r="N27" s="4" t="inlineStr"/>
    </row>
    <row r="28">
      <c r="A28" s="13" t="n">
        <v>475</v>
      </c>
      <c r="B28" s="4" t="inlineStr">
        <is>
          <t>Verificar despliegue de objetivos según la categoría asignada o mensaje de evaluación pendiente</t>
        </is>
      </c>
      <c r="C28" s="4" t="inlineStr">
        <is>
          <t>235 - HU 2.2.2 Identificación de debilidades</t>
        </is>
      </c>
      <c r="D28" s="4" t="inlineStr">
        <is>
          <t>Carlos Hernando Franco Idarraga</t>
        </is>
      </c>
      <c r="E28" s="8" t="inlineStr">
        <is>
          <t>Automatizado</t>
        </is>
      </c>
      <c r="F28" s="4" t="inlineStr">
        <is>
          <t>TS_TC13</t>
        </is>
      </c>
      <c r="G28" s="4" t="inlineStr">
        <is>
          <t>TC13_AZ426_AZ451_AZ475_Progreso_perfil_y_categoria_del_estudiante</t>
        </is>
      </c>
      <c r="H28" s="8" t="inlineStr">
        <is>
          <t>Pasó</t>
        </is>
      </c>
      <c r="I28" s="8" t="n">
        <v>34.6</v>
      </c>
      <c r="J28" s="8" t="inlineStr">
        <is>
          <t>2026-10-23 14:26:17</t>
        </is>
      </c>
      <c r="K28" s="4" t="inlineStr">
        <is>
          <t>Katalon (TS_TC13)</t>
        </is>
      </c>
      <c r="L28" s="4" t="inlineStr"/>
      <c r="M28" s="4" t="inlineStr"/>
      <c r="N28" s="4" t="inlineStr"/>
    </row>
    <row r="29">
      <c r="A29" s="13" t="n">
        <v>476</v>
      </c>
      <c r="B29" s="4" t="inlineStr">
        <is>
          <t>Validar consolidación de estudiantes por categoría, cálculo de métricas y filtros en dashboard docente</t>
        </is>
      </c>
      <c r="C29" s="4" t="inlineStr">
        <is>
          <t>241 - HU 2.2.3 Reportes por categoría</t>
        </is>
      </c>
      <c r="D29" s="4" t="inlineStr">
        <is>
          <t>Carlos Hernando Franco Idarraga</t>
        </is>
      </c>
      <c r="E29" s="8" t="inlineStr">
        <is>
          <t>Automatizado</t>
        </is>
      </c>
      <c r="F29" s="4" t="inlineStr">
        <is>
          <t>TS_TC17</t>
        </is>
      </c>
      <c r="G29" s="4" t="inlineStr">
        <is>
          <t>TC17_AZ502_AZ476_AZ455_Reportes_graficos_y_filtro_por_nivel</t>
        </is>
      </c>
      <c r="H29" s="8" t="inlineStr">
        <is>
          <t>Pasó</t>
        </is>
      </c>
      <c r="I29" s="8" t="n">
        <v>47.8</v>
      </c>
      <c r="J29" s="8" t="inlineStr">
        <is>
          <t>2026-10-23 14:03:42</t>
        </is>
      </c>
      <c r="K29" s="4" t="inlineStr">
        <is>
          <t>Katalon (TS_TC17)</t>
        </is>
      </c>
      <c r="L29" s="4" t="inlineStr"/>
      <c r="M29" s="4" t="inlineStr"/>
      <c r="N29" s="4" t="inlineStr">
        <is>
          <t>O-05</t>
        </is>
      </c>
    </row>
    <row r="30">
      <c r="A30" s="13" t="n">
        <v>477</v>
      </c>
      <c r="B30" s="4" t="inlineStr">
        <is>
          <t>Verificar activación de alerta 'requiere mejora' para categorías con promedio de calificación inferior al 70%</t>
        </is>
      </c>
      <c r="C30" s="4" t="inlineStr">
        <is>
          <t>241 - HU 2.2.3 Reportes por categoría</t>
        </is>
      </c>
      <c r="D30" s="4" t="inlineStr">
        <is>
          <t>Carlos Hernando Franco Idarraga</t>
        </is>
      </c>
      <c r="E30" s="8" t="inlineStr">
        <is>
          <t>No automatizable</t>
        </is>
      </c>
      <c r="F30" s="4" t="inlineStr"/>
      <c r="G30" s="4" t="inlineStr"/>
      <c r="H30" s="8" t="inlineStr">
        <is>
          <t>No automatizable</t>
        </is>
      </c>
      <c r="I30" s="8" t="n"/>
      <c r="J30" s="8" t="inlineStr"/>
      <c r="K30" s="4" t="inlineStr">
        <is>
          <t>Clasificación del inventario</t>
        </is>
      </c>
      <c r="L30" s="4" t="inlineStr"/>
      <c r="M30" s="4" t="inlineStr">
        <is>
          <t>Alerta dirigida al Administrador; no visible para Docente ni Estudiante.</t>
        </is>
      </c>
      <c r="N30" s="4" t="inlineStr"/>
    </row>
    <row r="31">
      <c r="A31" s="13" t="n">
        <v>478</v>
      </c>
      <c r="B31" s="4" t="inlineStr">
        <is>
          <t>Validar limites de longitud y expresiones regulares en campos del formulario de registro</t>
        </is>
      </c>
      <c r="C31" s="4" t="inlineStr">
        <is>
          <t>176 - HU 1.1.1 Registro de usuarios</t>
        </is>
      </c>
      <c r="D31" s="4" t="inlineStr">
        <is>
          <t>Carlos Hernando Franco Idarraga</t>
        </is>
      </c>
      <c r="E31" s="8" t="inlineStr">
        <is>
          <t>Automatizado</t>
        </is>
      </c>
      <c r="F31" s="4" t="inlineStr">
        <is>
          <t>TS_TC05</t>
        </is>
      </c>
      <c r="G31" s="4" t="inlineStr">
        <is>
          <t>TC05_AZ478_Registro_limites_de_longitud_y_formato</t>
        </is>
      </c>
      <c r="H31" s="8" t="inlineStr">
        <is>
          <t>Pasó</t>
        </is>
      </c>
      <c r="I31" s="8" t="n">
        <v>59.7</v>
      </c>
      <c r="J31" s="8" t="inlineStr">
        <is>
          <t>2026-10-23 13:43:40</t>
        </is>
      </c>
      <c r="K31" s="4" t="inlineStr">
        <is>
          <t>Katalon (TS_TC05)</t>
        </is>
      </c>
      <c r="L31" s="4" t="inlineStr"/>
      <c r="M31" s="4" t="inlineStr"/>
      <c r="N31" s="4" t="inlineStr"/>
    </row>
    <row r="32">
      <c r="A32" s="13" t="n">
        <v>482</v>
      </c>
      <c r="B32" s="4" t="inlineStr">
        <is>
          <t>Verificar unicidad de username/email y almacenamiento seguro mediante hash bcrypt/Argon2</t>
        </is>
      </c>
      <c r="C32" s="4" t="inlineStr">
        <is>
          <t>176 - HU 1.1.1 Registro de usuarios</t>
        </is>
      </c>
      <c r="D32" s="4" t="inlineStr">
        <is>
          <t>Carlos Hernando Franco Idarraga</t>
        </is>
      </c>
      <c r="E32" s="8" t="inlineStr">
        <is>
          <t>Automatizado parcial</t>
        </is>
      </c>
      <c r="F32" s="4" t="inlineStr">
        <is>
          <t>TS_TC06</t>
        </is>
      </c>
      <c r="G32" s="4" t="inlineStr">
        <is>
          <t>TC06_AZ482_Registro_unicidad_de_usuario_y_correo</t>
        </is>
      </c>
      <c r="H32" s="8" t="inlineStr">
        <is>
          <t>Pasó</t>
        </is>
      </c>
      <c r="I32" s="8" t="n">
        <v>37</v>
      </c>
      <c r="J32" s="8" t="inlineStr">
        <is>
          <t>2026-10-23 13:45:05</t>
        </is>
      </c>
      <c r="K32" s="4" t="inlineStr">
        <is>
          <t>Katalon (TS_TC06)</t>
        </is>
      </c>
      <c r="L32" s="4" t="inlineStr"/>
      <c r="M32" s="4" t="inlineStr">
        <is>
          <t>Parcial: el hash bcrypt/Argon2 no es observable.</t>
        </is>
      </c>
      <c r="N32" s="4" t="inlineStr"/>
    </row>
    <row r="33">
      <c r="A33" s="13" t="n">
        <v>483</v>
      </c>
      <c r="B33" s="4" t="inlineStr">
        <is>
          <t>Validar manejo de errores de formato y mensaje genérico ante credenciales incorrectas</t>
        </is>
      </c>
      <c r="C33" s="4" t="inlineStr">
        <is>
          <t>181 - HU 1.1.2 Inicio de sesión</t>
        </is>
      </c>
      <c r="D33" s="4" t="inlineStr">
        <is>
          <t>Carlos Hernando Franco Idarraga</t>
        </is>
      </c>
      <c r="E33" s="8" t="inlineStr">
        <is>
          <t>Automatizado</t>
        </is>
      </c>
      <c r="F33" s="4" t="inlineStr">
        <is>
          <t>TS_TC04</t>
        </is>
      </c>
      <c r="G33" s="4" t="inlineStr">
        <is>
          <t>TC04_AZ483_Login_errores_de_formato_y_mensaje_generico</t>
        </is>
      </c>
      <c r="H33" s="8" t="inlineStr">
        <is>
          <t>Pasó</t>
        </is>
      </c>
      <c r="I33" s="8" t="n">
        <v>37.2</v>
      </c>
      <c r="J33" s="8" t="inlineStr">
        <is>
          <t>2026-10-23 13:42:35</t>
        </is>
      </c>
      <c r="K33" s="4" t="inlineStr">
        <is>
          <t>Katalon (TS_TC04)</t>
        </is>
      </c>
      <c r="L33" s="4" t="inlineStr"/>
      <c r="M33" s="4" t="inlineStr"/>
      <c r="N33" s="4" t="inlineStr">
        <is>
          <t>O-07</t>
        </is>
      </c>
    </row>
    <row r="34">
      <c r="A34" s="13" t="n">
        <v>485</v>
      </c>
      <c r="B34" s="4" t="inlineStr">
        <is>
          <t>Verificar la emisión de cookie JWT HttpOnly/Secure con expiración de 15 minutos y redirección según rol</t>
        </is>
      </c>
      <c r="C34" s="4" t="inlineStr">
        <is>
          <t>181 - HU 1.1.2 Inicio de sesión</t>
        </is>
      </c>
      <c r="D34" s="4" t="inlineStr">
        <is>
          <t>Carlos Hernando Franco Idarraga</t>
        </is>
      </c>
      <c r="E34" s="8" t="inlineStr">
        <is>
          <t>Automatizado</t>
        </is>
      </c>
      <c r="F34" s="4" t="inlineStr">
        <is>
          <t>TS_TC07</t>
        </is>
      </c>
      <c r="G34" s="4" t="inlineStr">
        <is>
          <t>TC07_AZ485_Login_exitoso_cookie_segura_y_redireccion_por_rol</t>
        </is>
      </c>
      <c r="H34" s="8" t="inlineStr">
        <is>
          <t>Falló</t>
        </is>
      </c>
      <c r="I34" s="8" t="n">
        <v>129</v>
      </c>
      <c r="J34" s="8" t="inlineStr">
        <is>
          <t>2026-10-23 13:59:40</t>
        </is>
      </c>
      <c r="K34" s="4" t="inlineStr">
        <is>
          <t>Katalon (TS_TC07)</t>
        </is>
      </c>
      <c r="L34" s="4" t="inlineStr">
        <is>
          <t>Test Cases/TC07_AZ485_Login_exitoso_cookie_segura_y_redireccion_por_rol FAILED.</t>
        </is>
      </c>
      <c r="M34" s="4" t="inlineStr"/>
      <c r="N34" s="4" t="inlineStr">
        <is>
          <t>D-01, O-03</t>
        </is>
      </c>
    </row>
    <row r="35">
      <c r="A35" s="13" t="n">
        <v>486</v>
      </c>
      <c r="B35" s="4" t="inlineStr">
        <is>
          <t>Validar mensaje de privacidad genérico y vigencia límite de 5 minutos en el token de recuperación</t>
        </is>
      </c>
      <c r="C35" s="4" t="inlineStr">
        <is>
          <t>186 - HU 1.1.3 Reestablecer contraseña</t>
        </is>
      </c>
      <c r="D35" s="4" t="inlineStr">
        <is>
          <t>Carlos Hernando Franco Idarraga</t>
        </is>
      </c>
      <c r="E35" s="8" t="inlineStr">
        <is>
          <t>Automatizado</t>
        </is>
      </c>
      <c r="F35" s="4" t="inlineStr">
        <is>
          <t>TS_TC08</t>
        </is>
      </c>
      <c r="G35" s="4" t="inlineStr">
        <is>
          <t>TC08_AZ486_Recuperacion_mensaje_generico_y_vigencia</t>
        </is>
      </c>
      <c r="H35" s="8" t="inlineStr">
        <is>
          <t>Pasó</t>
        </is>
      </c>
      <c r="I35" s="8" t="n">
        <v>33.6</v>
      </c>
      <c r="J35" s="8" t="inlineStr">
        <is>
          <t>2026-10-23 13:52:16</t>
        </is>
      </c>
      <c r="K35" s="4" t="inlineStr">
        <is>
          <t>Katalon (TS_TC08)</t>
        </is>
      </c>
      <c r="L35" s="4" t="inlineStr"/>
      <c r="M35" s="4" t="inlineStr"/>
      <c r="N35" s="4" t="inlineStr">
        <is>
          <t>D-02, D-04</t>
        </is>
      </c>
    </row>
    <row r="36">
      <c r="A36" s="13" t="n">
        <v>488</v>
      </c>
      <c r="B36" s="4" t="inlineStr">
        <is>
          <t>Verificar validación de token vencido, requisitos de contraseña segura y revocación de sesiones previas</t>
        </is>
      </c>
      <c r="C36" s="4" t="inlineStr">
        <is>
          <t>186 - HU 1.1.3 Reestablecer contraseña</t>
        </is>
      </c>
      <c r="D36" s="4" t="inlineStr">
        <is>
          <t>Carlos Hernando Franco Idarraga</t>
        </is>
      </c>
      <c r="E36" s="8" t="inlineStr">
        <is>
          <t>Automatizado</t>
        </is>
      </c>
      <c r="F36" s="4" t="inlineStr">
        <is>
          <t>TS_TC09</t>
        </is>
      </c>
      <c r="G36" s="4" t="inlineStr">
        <is>
          <t>TC09_AZ488_Restablecimiento_enlace_invalido_y_complejidad</t>
        </is>
      </c>
      <c r="H36" s="8" t="inlineStr">
        <is>
          <t>Falló</t>
        </is>
      </c>
      <c r="I36" s="8" t="n">
        <v>276.5</v>
      </c>
      <c r="J36" s="8" t="inlineStr">
        <is>
          <t>2026-10-23 13:54:23</t>
        </is>
      </c>
      <c r="K36" s="4" t="inlineStr">
        <is>
          <t>Katalon (TS_TC09)</t>
        </is>
      </c>
      <c r="L36" s="4" t="inlineStr">
        <is>
          <t>Test Cases/TC09_AZ488_Restablecimiento_enlace_invalido_y_complejidad FAILED.</t>
        </is>
      </c>
      <c r="M36" s="4" t="inlineStr"/>
      <c r="N36" s="4" t="inlineStr">
        <is>
          <t>D-02</t>
        </is>
      </c>
    </row>
    <row r="37">
      <c r="A37" s="13" t="n">
        <v>489</v>
      </c>
      <c r="B37" s="4" t="inlineStr">
        <is>
          <t>Validar edición de permisos por rol y restricción de acceso según permisos asignados</t>
        </is>
      </c>
      <c r="C37" s="4" t="inlineStr">
        <is>
          <t>193 - HU 1.2.1 Asignación de roles</t>
        </is>
      </c>
      <c r="D37" s="4" t="inlineStr">
        <is>
          <t>Carlos Hernando Franco Idarraga</t>
        </is>
      </c>
      <c r="E37" s="8" t="inlineStr">
        <is>
          <t>Automatizado parcial</t>
        </is>
      </c>
      <c r="F37" s="4" t="inlineStr">
        <is>
          <t>TS_TC10</t>
        </is>
      </c>
      <c r="G37" s="4" t="inlineStr">
        <is>
          <t>TC10_AZ494_Middleware_401_y_403_segun_token_y_rol</t>
        </is>
      </c>
      <c r="H37" s="8" t="inlineStr">
        <is>
          <t>Pasó</t>
        </is>
      </c>
      <c r="I37" s="8" t="n">
        <v>33.4</v>
      </c>
      <c r="J37" s="8" t="inlineStr">
        <is>
          <t>2026-10-23 14:14:32</t>
        </is>
      </c>
      <c r="K37" s="4" t="inlineStr">
        <is>
          <t>Katalon (TS_TC10)</t>
        </is>
      </c>
      <c r="L37" s="4" t="inlineStr"/>
      <c r="M37" s="4" t="inlineStr">
        <is>
          <t>Parcial: solo la restricción de acceso; la edición de permisos requiere Administrador.</t>
        </is>
      </c>
      <c r="N37" s="4" t="inlineStr"/>
    </row>
    <row r="38">
      <c r="A38" s="13" t="n">
        <v>493</v>
      </c>
      <c r="B38" s="4" t="inlineStr">
        <is>
          <t>Verificar bloqueo de eliminación de roles asociados a uno o más usuarios activos</t>
        </is>
      </c>
      <c r="C38" s="4" t="inlineStr">
        <is>
          <t>193 - HU 1.2.1 Asignación de roles</t>
        </is>
      </c>
      <c r="D38" s="4" t="inlineStr">
        <is>
          <t>Carlos Hernando Franco Idarraga</t>
        </is>
      </c>
      <c r="E38" s="8" t="inlineStr">
        <is>
          <t>No automatizable</t>
        </is>
      </c>
      <c r="F38" s="4" t="inlineStr"/>
      <c r="G38" s="4" t="inlineStr"/>
      <c r="H38" s="8" t="inlineStr">
        <is>
          <t>No automatizable</t>
        </is>
      </c>
      <c r="I38" s="8" t="n"/>
      <c r="J38" s="8" t="inlineStr"/>
      <c r="K38" s="4" t="inlineStr">
        <is>
          <t>Clasificación del inventario</t>
        </is>
      </c>
      <c r="L38" s="4" t="inlineStr"/>
      <c r="M38" s="4" t="inlineStr">
        <is>
          <t>Gestión de roles reservada al Administrador.</t>
        </is>
      </c>
      <c r="N38" s="4" t="inlineStr"/>
    </row>
    <row r="39">
      <c r="A39" s="13" t="n">
        <v>494</v>
      </c>
      <c r="B39" s="4" t="inlineStr">
        <is>
          <t>Validar interceptación de Middleware retornando HTTP 401 y HTTP 403 según token y permisos</t>
        </is>
      </c>
      <c r="C39" s="4" t="inlineStr">
        <is>
          <t>198 - HU 1.2.2 Acceso y privacidad en datos</t>
        </is>
      </c>
      <c r="D39" s="4" t="inlineStr">
        <is>
          <t>Carlos Hernando Franco Idarraga</t>
        </is>
      </c>
      <c r="E39" s="8" t="inlineStr">
        <is>
          <t>Automatizado</t>
        </is>
      </c>
      <c r="F39" s="4" t="inlineStr">
        <is>
          <t>TS_TC10</t>
        </is>
      </c>
      <c r="G39" s="4" t="inlineStr">
        <is>
          <t>TC10_AZ494_Middleware_401_y_403_segun_token_y_rol</t>
        </is>
      </c>
      <c r="H39" s="8" t="inlineStr">
        <is>
          <t>Pasó</t>
        </is>
      </c>
      <c r="I39" s="8" t="n">
        <v>33.4</v>
      </c>
      <c r="J39" s="8" t="inlineStr">
        <is>
          <t>2026-10-23 14:14:32</t>
        </is>
      </c>
      <c r="K39" s="4" t="inlineStr">
        <is>
          <t>Katalon (TS_TC10)</t>
        </is>
      </c>
      <c r="L39" s="4" t="inlineStr"/>
      <c r="M39" s="4" t="inlineStr"/>
      <c r="N39" s="4" t="inlineStr"/>
    </row>
    <row r="40">
      <c r="A40" s="13" t="n">
        <v>496</v>
      </c>
      <c r="B40" s="4" t="inlineStr">
        <is>
          <t>Verificar aislamiento estricto de información académica y enmascaramiento con HTTP 404</t>
        </is>
      </c>
      <c r="C40" s="4" t="inlineStr">
        <is>
          <t>198 - HU 1.2.2 Acceso y privacidad en datos</t>
        </is>
      </c>
      <c r="D40" s="4" t="inlineStr">
        <is>
          <t>Carlos Hernando Franco Idarraga</t>
        </is>
      </c>
      <c r="E40" s="8" t="inlineStr">
        <is>
          <t>Automatizado</t>
        </is>
      </c>
      <c r="F40" s="4" t="inlineStr">
        <is>
          <t>TS_TC01</t>
        </is>
      </c>
      <c r="G40" s="4" t="inlineStr">
        <is>
          <t>TC01_HU122_Aislamiento_datos_academicos_entre_estudiantes</t>
        </is>
      </c>
      <c r="H40" s="8" t="inlineStr">
        <is>
          <t>Pasó</t>
        </is>
      </c>
      <c r="I40" s="8" t="n">
        <v>50.8</v>
      </c>
      <c r="J40" s="8" t="inlineStr">
        <is>
          <t>2026-10-23 14:34:36</t>
        </is>
      </c>
      <c r="K40" s="4" t="inlineStr">
        <is>
          <t>Katalon (TS_TC01)</t>
        </is>
      </c>
      <c r="L40" s="4" t="inlineStr"/>
      <c r="M40" s="4" t="inlineStr"/>
      <c r="N40" s="4" t="inlineStr"/>
    </row>
    <row r="41">
      <c r="A41" s="13" t="n">
        <v>497</v>
      </c>
      <c r="B41" s="4" t="inlineStr">
        <is>
          <t>Validar acceso al módulo de rúbricas y marcado de 'pendiente de baja' con notificación</t>
        </is>
      </c>
      <c r="C41" s="4" t="inlineStr">
        <is>
          <t>203 - HU 1.2.3 Acceso a rubricas de calificación</t>
        </is>
      </c>
      <c r="D41" s="4" t="inlineStr">
        <is>
          <t>Carlos Hernando Franco Idarraga</t>
        </is>
      </c>
      <c r="E41" s="8" t="inlineStr">
        <is>
          <t>No automatizable</t>
        </is>
      </c>
      <c r="F41" s="4" t="inlineStr"/>
      <c r="G41" s="4" t="inlineStr"/>
      <c r="H41" s="8" t="inlineStr">
        <is>
          <t>No automatizable</t>
        </is>
      </c>
      <c r="I41" s="8" t="n"/>
      <c r="J41" s="8" t="inlineStr"/>
      <c r="K41" s="4" t="inlineStr">
        <is>
          <t>Clasificación del inventario</t>
        </is>
      </c>
      <c r="L41" s="4" t="inlineStr"/>
      <c r="M41" s="4" t="inlineStr">
        <is>
          <t>La aplicación no tiene módulo de rúbricas ni estado "pendiente de baja".</t>
        </is>
      </c>
      <c r="N41" s="4" t="inlineStr"/>
    </row>
    <row r="42">
      <c r="A42" s="13" t="n">
        <v>499</v>
      </c>
      <c r="B42" s="4" t="inlineStr">
        <is>
          <t>Verificar la preservación de versión activa previa y flujo de aprobación/rechazo de cambios en rúbricas</t>
        </is>
      </c>
      <c r="C42" s="4" t="inlineStr">
        <is>
          <t>203 - HU 1.2.3 Acceso a rubricas de calificación</t>
        </is>
      </c>
      <c r="D42" s="4" t="inlineStr">
        <is>
          <t>Carlos Hernando Franco Idarraga</t>
        </is>
      </c>
      <c r="E42" s="8" t="inlineStr">
        <is>
          <t>Automatizado parcial</t>
        </is>
      </c>
      <c r="F42" s="4" t="inlineStr">
        <is>
          <t>TS_TC20</t>
        </is>
      </c>
      <c r="G42" s="4" t="inlineStr">
        <is>
          <t>TC20_AZ468_Banco_de_preguntas_paginacion_filtros_y_versiones</t>
        </is>
      </c>
      <c r="H42" s="8" t="inlineStr">
        <is>
          <t>Pasó</t>
        </is>
      </c>
      <c r="I42" s="8" t="n">
        <v>75.59999999999999</v>
      </c>
      <c r="J42" s="8" t="inlineStr">
        <is>
          <t>2026-10-23 14:11:39</t>
        </is>
      </c>
      <c r="K42" s="4" t="inlineStr">
        <is>
          <t>Katalon (TS_TC20)</t>
        </is>
      </c>
      <c r="L42" s="4" t="inlineStr"/>
      <c r="M42" s="4" t="inlineStr">
        <is>
          <t>Parcial: historial de versiones; la aprobación la hace el Administrador.</t>
        </is>
      </c>
      <c r="N42" s="4" t="inlineStr"/>
    </row>
    <row r="43">
      <c r="A43" s="13" t="n">
        <v>500</v>
      </c>
      <c r="B43" s="4" t="inlineStr">
        <is>
          <t>Validar control de acceso al módulo de reportes generales y extracción de datos consolidados JSON</t>
        </is>
      </c>
      <c r="C43" s="4" t="inlineStr">
        <is>
          <t>207 - HU 1.2.4 Reportes de estudiantes</t>
        </is>
      </c>
      <c r="D43" s="4" t="inlineStr">
        <is>
          <t>Carlos Hernando Franco Idarraga</t>
        </is>
      </c>
      <c r="E43" s="8" t="inlineStr">
        <is>
          <t>Automatizado</t>
        </is>
      </c>
      <c r="F43" s="4" t="inlineStr">
        <is>
          <t>TS_TC16</t>
        </is>
      </c>
      <c r="G43" s="4" t="inlineStr">
        <is>
          <t>TC16_AZ450_AZ500_Acceso_por_rol_a_reportes_y_datos_consolidados</t>
        </is>
      </c>
      <c r="H43" s="8" t="inlineStr">
        <is>
          <t>Pasó</t>
        </is>
      </c>
      <c r="I43" s="8" t="n">
        <v>46.8</v>
      </c>
      <c r="J43" s="8" t="inlineStr">
        <is>
          <t>2026-10-23 14:02:30</t>
        </is>
      </c>
      <c r="K43" s="4" t="inlineStr">
        <is>
          <t>Katalon (TS_TC16)</t>
        </is>
      </c>
      <c r="L43" s="4" t="inlineStr"/>
      <c r="M43" s="4" t="inlineStr"/>
      <c r="N43" s="4" t="inlineStr"/>
    </row>
    <row r="44">
      <c r="A44" s="13" t="n">
        <v>502</v>
      </c>
      <c r="B44" s="4" t="inlineStr">
        <is>
          <t>Verificar la representación gráfica de reportes y el control de vista en ausencia de datos</t>
        </is>
      </c>
      <c r="C44" s="4" t="inlineStr">
        <is>
          <t>207 - HU 1.2.4 Reportes de estudiantes</t>
        </is>
      </c>
      <c r="D44" s="4" t="inlineStr">
        <is>
          <t>Carlos Hernando Franco Idarraga</t>
        </is>
      </c>
      <c r="E44" s="8" t="inlineStr">
        <is>
          <t>Automatizado</t>
        </is>
      </c>
      <c r="F44" s="4" t="inlineStr">
        <is>
          <t>TS_TC17</t>
        </is>
      </c>
      <c r="G44" s="4" t="inlineStr">
        <is>
          <t>TC17_AZ502_AZ476_AZ455_Reportes_graficos_y_filtro_por_nivel</t>
        </is>
      </c>
      <c r="H44" s="8" t="inlineStr">
        <is>
          <t>Pasó</t>
        </is>
      </c>
      <c r="I44" s="8" t="n">
        <v>47.8</v>
      </c>
      <c r="J44" s="8" t="inlineStr">
        <is>
          <t>2026-10-23 14:03:42</t>
        </is>
      </c>
      <c r="K44" s="4" t="inlineStr">
        <is>
          <t>Katalon (TS_TC17)</t>
        </is>
      </c>
      <c r="L44" s="4" t="inlineStr"/>
      <c r="M44" s="4" t="inlineStr"/>
      <c r="N44" s="4" t="inlineStr"/>
    </row>
  </sheetData>
  <autoFilter ref="A1:N44"/>
  <conditionalFormatting sqref="H2:H44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18" customWidth="1" min="4" max="4"/>
  </cols>
  <sheetData>
    <row r="1">
      <c r="A1" s="3" t="inlineStr">
        <is>
          <t>HU</t>
        </is>
      </c>
      <c r="B1" s="3" t="inlineStr">
        <is>
          <t>Título HU</t>
        </is>
      </c>
      <c r="C1" s="3" t="inlineStr">
        <is>
          <t>ID caso</t>
        </is>
      </c>
      <c r="D1" s="3" t="inlineStr">
        <is>
          <t>Resultado</t>
        </is>
      </c>
    </row>
    <row r="2">
      <c r="A2" s="4" t="n">
        <v>241</v>
      </c>
      <c r="B2" s="4" t="inlineStr">
        <is>
          <t>HU 2.2.3 Reportes por categoría</t>
        </is>
      </c>
      <c r="C2" s="4" t="n">
        <v>418</v>
      </c>
      <c r="D2" s="4">
        <f>INDEX(Detalle!$H$2:$H$44,MATCH(C2,Detalle!$A$2:$A$44,0))</f>
        <v/>
      </c>
    </row>
    <row r="3">
      <c r="A3" s="4" t="n">
        <v>212</v>
      </c>
      <c r="B3" s="4" t="inlineStr">
        <is>
          <t>HU 2.1.1 Desarrollo de evaluación</t>
        </is>
      </c>
      <c r="C3" s="4" t="n">
        <v>422</v>
      </c>
      <c r="D3" s="4">
        <f>INDEX(Detalle!$H$2:$H$44,MATCH(C3,Detalle!$A$2:$A$44,0))</f>
        <v/>
      </c>
    </row>
    <row r="4">
      <c r="A4" s="4" t="n">
        <v>291</v>
      </c>
      <c r="B4" s="4" t="inlineStr">
        <is>
          <t>HU 4.1.1 Progreso de aprendizaje</t>
        </is>
      </c>
      <c r="C4" s="4" t="n">
        <v>426</v>
      </c>
      <c r="D4" s="4">
        <f>INDEX(Detalle!$H$2:$H$44,MATCH(C4,Detalle!$A$2:$A$44,0))</f>
        <v/>
      </c>
    </row>
    <row r="5">
      <c r="A5" s="4" t="n">
        <v>246</v>
      </c>
      <c r="B5" s="4" t="inlineStr">
        <is>
          <t>HU 3.1.1 Registro de contenido acádemico</t>
        </is>
      </c>
      <c r="C5" s="4" t="n">
        <v>430</v>
      </c>
      <c r="D5" s="4">
        <f>INDEX(Detalle!$H$2:$H$44,MATCH(C5,Detalle!$A$2:$A$44,0))</f>
        <v/>
      </c>
    </row>
    <row r="6">
      <c r="A6" s="4" t="n">
        <v>212</v>
      </c>
      <c r="B6" s="4" t="inlineStr">
        <is>
          <t>HU 2.1.1 Desarrollo de evaluación</t>
        </is>
      </c>
      <c r="C6" s="4" t="n">
        <v>434</v>
      </c>
      <c r="D6" s="4">
        <f>INDEX(Detalle!$H$2:$H$44,MATCH(C6,Detalle!$A$2:$A$44,0))</f>
        <v/>
      </c>
    </row>
    <row r="7">
      <c r="A7" s="4" t="n">
        <v>212</v>
      </c>
      <c r="B7" s="4" t="inlineStr">
        <is>
          <t>HU 2.1.1 Desarrollo de evaluación</t>
        </is>
      </c>
      <c r="C7" s="4" t="n">
        <v>435</v>
      </c>
      <c r="D7" s="4">
        <f>INDEX(Detalle!$H$2:$H$44,MATCH(C7,Detalle!$A$2:$A$44,0))</f>
        <v/>
      </c>
    </row>
    <row r="8">
      <c r="A8" s="4" t="n">
        <v>251</v>
      </c>
      <c r="B8" s="4" t="inlineStr">
        <is>
          <t>HU 3.1.2 Ruta de aprendizaje</t>
        </is>
      </c>
      <c r="C8" s="4" t="n">
        <v>436</v>
      </c>
      <c r="D8" s="4">
        <f>INDEX(Detalle!$H$2:$H$44,MATCH(C8,Detalle!$A$2:$A$44,0))</f>
        <v/>
      </c>
    </row>
    <row r="9">
      <c r="A9" s="4" t="n">
        <v>257</v>
      </c>
      <c r="B9" s="4" t="inlineStr">
        <is>
          <t>HU 3.1.3 Actualizar recursos acádemicos</t>
        </is>
      </c>
      <c r="C9" s="4" t="n">
        <v>438</v>
      </c>
      <c r="D9" s="4">
        <f>INDEX(Detalle!$H$2:$H$44,MATCH(C9,Detalle!$A$2:$A$44,0))</f>
        <v/>
      </c>
    </row>
    <row r="10">
      <c r="A10" s="4" t="n">
        <v>262</v>
      </c>
      <c r="B10" s="4" t="inlineStr">
        <is>
          <t>HU 3.1.4 Reportes de contenido acádemico</t>
        </is>
      </c>
      <c r="C10" s="4" t="n">
        <v>440</v>
      </c>
      <c r="D10" s="4">
        <f>INDEX(Detalle!$H$2:$H$44,MATCH(C10,Detalle!$A$2:$A$44,0))</f>
        <v/>
      </c>
    </row>
    <row r="11">
      <c r="A11" s="4" t="n">
        <v>268</v>
      </c>
      <c r="B11" s="4" t="inlineStr">
        <is>
          <t>HU 3.2.1 Actualizar rutas de aprendizaje</t>
        </is>
      </c>
      <c r="C11" s="4" t="n">
        <v>442</v>
      </c>
      <c r="D11" s="4">
        <f>INDEX(Detalle!$H$2:$H$44,MATCH(C11,Detalle!$A$2:$A$44,0))</f>
        <v/>
      </c>
    </row>
    <row r="12">
      <c r="A12" s="4" t="n">
        <v>274</v>
      </c>
      <c r="B12" s="4" t="inlineStr">
        <is>
          <t>HU 3.2.2 Reportes por estudiante</t>
        </is>
      </c>
      <c r="C12" s="4" t="n">
        <v>444</v>
      </c>
      <c r="D12" s="4">
        <f>INDEX(Detalle!$H$2:$H$44,MATCH(C12,Detalle!$A$2:$A$44,0))</f>
        <v/>
      </c>
    </row>
    <row r="13">
      <c r="A13" s="4" t="n">
        <v>279</v>
      </c>
      <c r="B13" s="4" t="inlineStr">
        <is>
          <t>HU 3.2.3 Recepción de ruta de aprendizaje personalizada</t>
        </is>
      </c>
      <c r="C13" s="4" t="n">
        <v>446</v>
      </c>
      <c r="D13" s="4">
        <f>INDEX(Detalle!$H$2:$H$44,MATCH(C13,Detalle!$A$2:$A$44,0))</f>
        <v/>
      </c>
    </row>
    <row r="14">
      <c r="A14" s="4" t="n">
        <v>285</v>
      </c>
      <c r="B14" s="4" t="inlineStr">
        <is>
          <t>HU 3.2.4 Dar retrospectiva sobre contenido acádemico</t>
        </is>
      </c>
      <c r="C14" s="4" t="n">
        <v>448</v>
      </c>
      <c r="D14" s="4">
        <f>INDEX(Detalle!$H$2:$H$44,MATCH(C14,Detalle!$A$2:$A$44,0))</f>
        <v/>
      </c>
    </row>
    <row r="15">
      <c r="A15" s="4" t="n">
        <v>274</v>
      </c>
      <c r="B15" s="4" t="inlineStr">
        <is>
          <t>HU 3.2.2 Reportes por estudiante</t>
        </is>
      </c>
      <c r="C15" s="4" t="n">
        <v>450</v>
      </c>
      <c r="D15" s="4">
        <f>INDEX(Detalle!$H$2:$H$44,MATCH(C15,Detalle!$A$2:$A$44,0))</f>
        <v/>
      </c>
    </row>
    <row r="16">
      <c r="A16" s="4" t="n">
        <v>314</v>
      </c>
      <c r="B16" s="4" t="inlineStr">
        <is>
          <t>HU 4.2.2 Visualización de debilidades</t>
        </is>
      </c>
      <c r="C16" s="4" t="n">
        <v>451</v>
      </c>
      <c r="D16" s="4">
        <f>INDEX(Detalle!$H$2:$H$44,MATCH(C16,Detalle!$A$2:$A$44,0))</f>
        <v/>
      </c>
    </row>
    <row r="17">
      <c r="A17" s="4" t="n">
        <v>303</v>
      </c>
      <c r="B17" s="4" t="inlineStr">
        <is>
          <t>HU 4.1.3 Progreso de estudiantes desde Docente</t>
        </is>
      </c>
      <c r="C17" s="4" t="n">
        <v>455</v>
      </c>
      <c r="D17" s="4">
        <f>INDEX(Detalle!$H$2:$H$44,MATCH(C17,Detalle!$A$2:$A$44,0))</f>
        <v/>
      </c>
    </row>
    <row r="18">
      <c r="A18" s="4" t="n">
        <v>308</v>
      </c>
      <c r="B18" s="4" t="inlineStr">
        <is>
          <t>HU 4.2.1 Feedback por evaluación</t>
        </is>
      </c>
      <c r="C18" s="4" t="n">
        <v>457</v>
      </c>
      <c r="D18" s="4">
        <f>INDEX(Detalle!$H$2:$H$44,MATCH(C18,Detalle!$A$2:$A$44,0))</f>
        <v/>
      </c>
    </row>
    <row r="19">
      <c r="A19" s="4" t="n">
        <v>320</v>
      </c>
      <c r="B19" s="4" t="inlineStr">
        <is>
          <t>HU 4.2.3 Explicación de categorización</t>
        </is>
      </c>
      <c r="C19" s="4" t="n">
        <v>459</v>
      </c>
      <c r="D19" s="4">
        <f>INDEX(Detalle!$H$2:$H$44,MATCH(C19,Detalle!$A$2:$A$44,0))</f>
        <v/>
      </c>
    </row>
    <row r="20">
      <c r="A20" s="4" t="n">
        <v>218</v>
      </c>
      <c r="B20" s="4" t="inlineStr">
        <is>
          <t>HU 2.1.2 Evaluación de un tema especifico</t>
        </is>
      </c>
      <c r="C20" s="4" t="n">
        <v>461</v>
      </c>
      <c r="D20" s="4">
        <f>INDEX(Detalle!$H$2:$H$44,MATCH(C20,Detalle!$A$2:$A$44,0))</f>
        <v/>
      </c>
    </row>
    <row r="21">
      <c r="A21" s="4" t="n">
        <v>218</v>
      </c>
      <c r="B21" s="4" t="inlineStr">
        <is>
          <t>HU 2.1.2 Evaluación de un tema especifico</t>
        </is>
      </c>
      <c r="C21" s="4" t="n">
        <v>465</v>
      </c>
      <c r="D21" s="4">
        <f>INDEX(Detalle!$H$2:$H$44,MATCH(C21,Detalle!$A$2:$A$44,0))</f>
        <v/>
      </c>
    </row>
    <row r="22">
      <c r="A22" s="4" t="n">
        <v>224</v>
      </c>
      <c r="B22" s="4" t="inlineStr">
        <is>
          <t>HU 2.1.3 Creación de rubricas</t>
        </is>
      </c>
      <c r="C22" s="4" t="n">
        <v>466</v>
      </c>
      <c r="D22" s="4">
        <f>INDEX(Detalle!$H$2:$H$44,MATCH(C22,Detalle!$A$2:$A$44,0))</f>
        <v/>
      </c>
    </row>
    <row r="23">
      <c r="A23" s="4" t="n">
        <v>224</v>
      </c>
      <c r="B23" s="4" t="inlineStr">
        <is>
          <t>HU 2.1.3 Creación de rubricas</t>
        </is>
      </c>
      <c r="C23" s="4" t="n">
        <v>468</v>
      </c>
      <c r="D23" s="4">
        <f>INDEX(Detalle!$H$2:$H$44,MATCH(C23,Detalle!$A$2:$A$44,0))</f>
        <v/>
      </c>
    </row>
    <row r="24">
      <c r="A24" s="4" t="n">
        <v>228</v>
      </c>
      <c r="B24" s="4" t="inlineStr">
        <is>
          <t>HU 2.2.1 Asignación de categoría</t>
        </is>
      </c>
      <c r="C24" s="4" t="n">
        <v>469</v>
      </c>
      <c r="D24" s="4">
        <f>INDEX(Detalle!$H$2:$H$44,MATCH(C24,Detalle!$A$2:$A$44,0))</f>
        <v/>
      </c>
    </row>
    <row r="25">
      <c r="A25" s="4" t="n">
        <v>228</v>
      </c>
      <c r="B25" s="4" t="inlineStr">
        <is>
          <t>HU 2.2.1 Asignación de categoría</t>
        </is>
      </c>
      <c r="C25" s="4" t="n">
        <v>471</v>
      </c>
      <c r="D25" s="4">
        <f>INDEX(Detalle!$H$2:$H$44,MATCH(C25,Detalle!$A$2:$A$44,0))</f>
        <v/>
      </c>
    </row>
    <row r="26">
      <c r="A26" s="4" t="n">
        <v>228</v>
      </c>
      <c r="B26" s="4" t="inlineStr">
        <is>
          <t>HU 2.2.1 Asignación de categoría</t>
        </is>
      </c>
      <c r="C26" s="4" t="n">
        <v>472</v>
      </c>
      <c r="D26" s="4">
        <f>INDEX(Detalle!$H$2:$H$44,MATCH(C26,Detalle!$A$2:$A$44,0))</f>
        <v/>
      </c>
    </row>
    <row r="27">
      <c r="A27" s="4" t="n">
        <v>235</v>
      </c>
      <c r="B27" s="4" t="inlineStr">
        <is>
          <t>HU 2.2.2 Identificación de debilidades</t>
        </is>
      </c>
      <c r="C27" s="4" t="n">
        <v>473</v>
      </c>
      <c r="D27" s="4">
        <f>INDEX(Detalle!$H$2:$H$44,MATCH(C27,Detalle!$A$2:$A$44,0))</f>
        <v/>
      </c>
    </row>
    <row r="28">
      <c r="A28" s="4" t="n">
        <v>235</v>
      </c>
      <c r="B28" s="4" t="inlineStr">
        <is>
          <t>HU 2.2.2 Identificación de debilidades</t>
        </is>
      </c>
      <c r="C28" s="4" t="n">
        <v>475</v>
      </c>
      <c r="D28" s="4">
        <f>INDEX(Detalle!$H$2:$H$44,MATCH(C28,Detalle!$A$2:$A$44,0))</f>
        <v/>
      </c>
    </row>
    <row r="29">
      <c r="A29" s="4" t="n">
        <v>241</v>
      </c>
      <c r="B29" s="4" t="inlineStr">
        <is>
          <t>HU 2.2.3 Reportes por categoría</t>
        </is>
      </c>
      <c r="C29" s="4" t="n">
        <v>476</v>
      </c>
      <c r="D29" s="4">
        <f>INDEX(Detalle!$H$2:$H$44,MATCH(C29,Detalle!$A$2:$A$44,0))</f>
        <v/>
      </c>
    </row>
    <row r="30">
      <c r="A30" s="4" t="n">
        <v>241</v>
      </c>
      <c r="B30" s="4" t="inlineStr">
        <is>
          <t>HU 2.2.3 Reportes por categoría</t>
        </is>
      </c>
      <c r="C30" s="4" t="n">
        <v>477</v>
      </c>
      <c r="D30" s="4">
        <f>INDEX(Detalle!$H$2:$H$44,MATCH(C30,Detalle!$A$2:$A$44,0))</f>
        <v/>
      </c>
    </row>
    <row r="31">
      <c r="A31" s="4" t="n">
        <v>176</v>
      </c>
      <c r="B31" s="4" t="inlineStr">
        <is>
          <t>HU 1.1.1 Registro de usuarios</t>
        </is>
      </c>
      <c r="C31" s="4" t="n">
        <v>478</v>
      </c>
      <c r="D31" s="4">
        <f>INDEX(Detalle!$H$2:$H$44,MATCH(C31,Detalle!$A$2:$A$44,0))</f>
        <v/>
      </c>
    </row>
    <row r="32">
      <c r="A32" s="4" t="n">
        <v>176</v>
      </c>
      <c r="B32" s="4" t="inlineStr">
        <is>
          <t>HU 1.1.1 Registro de usuarios</t>
        </is>
      </c>
      <c r="C32" s="4" t="n">
        <v>482</v>
      </c>
      <c r="D32" s="4">
        <f>INDEX(Detalle!$H$2:$H$44,MATCH(C32,Detalle!$A$2:$A$44,0))</f>
        <v/>
      </c>
    </row>
    <row r="33">
      <c r="A33" s="4" t="n">
        <v>181</v>
      </c>
      <c r="B33" s="4" t="inlineStr">
        <is>
          <t>HU 1.1.2 Inicio de sesión</t>
        </is>
      </c>
      <c r="C33" s="4" t="n">
        <v>483</v>
      </c>
      <c r="D33" s="4">
        <f>INDEX(Detalle!$H$2:$H$44,MATCH(C33,Detalle!$A$2:$A$44,0))</f>
        <v/>
      </c>
    </row>
    <row r="34">
      <c r="A34" s="4" t="n">
        <v>181</v>
      </c>
      <c r="B34" s="4" t="inlineStr">
        <is>
          <t>HU 1.1.2 Inicio de sesión</t>
        </is>
      </c>
      <c r="C34" s="4" t="n">
        <v>485</v>
      </c>
      <c r="D34" s="4">
        <f>INDEX(Detalle!$H$2:$H$44,MATCH(C34,Detalle!$A$2:$A$44,0))</f>
        <v/>
      </c>
    </row>
    <row r="35">
      <c r="A35" s="4" t="n">
        <v>186</v>
      </c>
      <c r="B35" s="4" t="inlineStr">
        <is>
          <t>HU 1.1.3 Reestablecer contraseña</t>
        </is>
      </c>
      <c r="C35" s="4" t="n">
        <v>486</v>
      </c>
      <c r="D35" s="4">
        <f>INDEX(Detalle!$H$2:$H$44,MATCH(C35,Detalle!$A$2:$A$44,0))</f>
        <v/>
      </c>
    </row>
    <row r="36">
      <c r="A36" s="4" t="n">
        <v>186</v>
      </c>
      <c r="B36" s="4" t="inlineStr">
        <is>
          <t>HU 1.1.3 Reestablecer contraseña</t>
        </is>
      </c>
      <c r="C36" s="4" t="n">
        <v>488</v>
      </c>
      <c r="D36" s="4">
        <f>INDEX(Detalle!$H$2:$H$44,MATCH(C36,Detalle!$A$2:$A$44,0))</f>
        <v/>
      </c>
    </row>
    <row r="37">
      <c r="A37" s="4" t="n">
        <v>193</v>
      </c>
      <c r="B37" s="4" t="inlineStr">
        <is>
          <t>HU 1.2.1 Asignación de roles</t>
        </is>
      </c>
      <c r="C37" s="4" t="n">
        <v>489</v>
      </c>
      <c r="D37" s="4">
        <f>INDEX(Detalle!$H$2:$H$44,MATCH(C37,Detalle!$A$2:$A$44,0))</f>
        <v/>
      </c>
    </row>
    <row r="38">
      <c r="A38" s="4" t="n">
        <v>193</v>
      </c>
      <c r="B38" s="4" t="inlineStr">
        <is>
          <t>HU 1.2.1 Asignación de roles</t>
        </is>
      </c>
      <c r="C38" s="4" t="n">
        <v>493</v>
      </c>
      <c r="D38" s="4">
        <f>INDEX(Detalle!$H$2:$H$44,MATCH(C38,Detalle!$A$2:$A$44,0))</f>
        <v/>
      </c>
    </row>
    <row r="39">
      <c r="A39" s="4" t="n">
        <v>198</v>
      </c>
      <c r="B39" s="4" t="inlineStr">
        <is>
          <t>HU 1.2.2 Acceso y privacidad en datos</t>
        </is>
      </c>
      <c r="C39" s="4" t="n">
        <v>494</v>
      </c>
      <c r="D39" s="4">
        <f>INDEX(Detalle!$H$2:$H$44,MATCH(C39,Detalle!$A$2:$A$44,0))</f>
        <v/>
      </c>
    </row>
    <row r="40">
      <c r="A40" s="4" t="n">
        <v>198</v>
      </c>
      <c r="B40" s="4" t="inlineStr">
        <is>
          <t>HU 1.2.2 Acceso y privacidad en datos</t>
        </is>
      </c>
      <c r="C40" s="4" t="n">
        <v>496</v>
      </c>
      <c r="D40" s="4">
        <f>INDEX(Detalle!$H$2:$H$44,MATCH(C40,Detalle!$A$2:$A$44,0))</f>
        <v/>
      </c>
    </row>
    <row r="41">
      <c r="A41" s="4" t="n">
        <v>203</v>
      </c>
      <c r="B41" s="4" t="inlineStr">
        <is>
          <t>HU 1.2.3 Acceso a rubricas de calificación</t>
        </is>
      </c>
      <c r="C41" s="4" t="n">
        <v>497</v>
      </c>
      <c r="D41" s="4">
        <f>INDEX(Detalle!$H$2:$H$44,MATCH(C41,Detalle!$A$2:$A$44,0))</f>
        <v/>
      </c>
    </row>
    <row r="42">
      <c r="A42" s="4" t="n">
        <v>203</v>
      </c>
      <c r="B42" s="4" t="inlineStr">
        <is>
          <t>HU 1.2.3 Acceso a rubricas de calificación</t>
        </is>
      </c>
      <c r="C42" s="4" t="n">
        <v>499</v>
      </c>
      <c r="D42" s="4">
        <f>INDEX(Detalle!$H$2:$H$44,MATCH(C42,Detalle!$A$2:$A$44,0))</f>
        <v/>
      </c>
    </row>
    <row r="43">
      <c r="A43" s="4" t="n">
        <v>207</v>
      </c>
      <c r="B43" s="4" t="inlineStr">
        <is>
          <t>HU 1.2.4 Reportes de estudiantes</t>
        </is>
      </c>
      <c r="C43" s="4" t="n">
        <v>500</v>
      </c>
      <c r="D43" s="4">
        <f>INDEX(Detalle!$H$2:$H$44,MATCH(C43,Detalle!$A$2:$A$44,0))</f>
        <v/>
      </c>
    </row>
    <row r="44">
      <c r="A44" s="4" t="n">
        <v>207</v>
      </c>
      <c r="B44" s="4" t="inlineStr">
        <is>
          <t>HU 1.2.4 Reportes de estudiantes</t>
        </is>
      </c>
      <c r="C44" s="4" t="n">
        <v>502</v>
      </c>
      <c r="D44" s="4">
        <f>INDEX(Detalle!$H$2:$H$44,MATCH(C44,Detalle!$A$2:$A$44,0))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22" customWidth="1" min="3" max="3"/>
    <col width="14" customWidth="1" min="4" max="4"/>
    <col width="18" customWidth="1" min="5" max="5"/>
    <col width="11" customWidth="1" min="6" max="6"/>
    <col width="11" customWidth="1" min="7" max="7"/>
    <col width="50" customWidth="1" min="8" max="8"/>
    <col width="60" customWidth="1" min="9" max="9"/>
    <col width="12" customWidth="1" min="10" max="10"/>
    <col width="34" customWidth="1" min="11" max="11"/>
  </cols>
  <sheetData>
    <row r="1">
      <c r="A1" s="3" t="inlineStr">
        <is>
          <t>Caso</t>
        </is>
      </c>
      <c r="B1" s="3" t="inlineStr">
        <is>
          <t>Test case Katalon</t>
        </is>
      </c>
      <c r="C1" s="3" t="inlineStr">
        <is>
          <t>Casos Azure</t>
        </is>
      </c>
      <c r="D1" s="3" t="inlineStr">
        <is>
          <t>Resultado</t>
        </is>
      </c>
      <c r="E1" s="3" t="inlineStr">
        <is>
          <t>Fecha ejecución</t>
        </is>
      </c>
      <c r="F1" s="3" t="inlineStr">
        <is>
          <t>Duración (s)</t>
        </is>
      </c>
      <c r="G1" s="3" t="inlineStr">
        <is>
          <t>Ejecuciones</t>
        </is>
      </c>
      <c r="H1" s="3" t="inlineStr">
        <is>
          <t>Mensaje</t>
        </is>
      </c>
      <c r="I1" s="3" t="inlineStr">
        <is>
          <t>Advertencias</t>
        </is>
      </c>
      <c r="J1" s="3" t="inlineStr">
        <is>
          <t>Hallazgos</t>
        </is>
      </c>
      <c r="K1" s="3" t="inlineStr">
        <is>
          <t>Reporte de la prueba</t>
        </is>
      </c>
    </row>
    <row r="2">
      <c r="A2" s="8" t="inlineStr">
        <is>
          <t>TC01</t>
        </is>
      </c>
      <c r="B2" s="4" t="inlineStr">
        <is>
          <t>TC01_HU122_Aislamiento_datos_academicos_entre_estudiantes</t>
        </is>
      </c>
      <c r="C2" s="4" t="inlineStr">
        <is>
          <t>#496</t>
        </is>
      </c>
      <c r="D2" s="8" t="inlineStr">
        <is>
          <t>Pasó</t>
        </is>
      </c>
      <c r="E2" s="8" t="inlineStr">
        <is>
          <t>2026-10-23 14:34:36</t>
        </is>
      </c>
      <c r="F2" s="8" t="n">
        <v>50.8</v>
      </c>
      <c r="G2" s="8" t="n">
        <v>2</v>
      </c>
      <c r="H2" s="4" t="inlineStr"/>
      <c r="I2" s="4" t="inlineStr"/>
      <c r="J2" s="4" t="inlineStr"/>
      <c r="K2" s="14" t="inlineStr">
        <is>
          <t>Por_prueba/TC01_HU122_Aislamiento_datos_academicos_entre_estudiantes.xlsx</t>
        </is>
      </c>
    </row>
    <row r="3">
      <c r="A3" s="8" t="inlineStr">
        <is>
          <t>TC02</t>
        </is>
      </c>
      <c r="B3" s="4" t="inlineStr">
        <is>
          <t>TC02_HU213_Restriccion_acceso_por_rol_a_administracion_de_evaluaciones</t>
        </is>
      </c>
      <c r="C3" s="4" t="inlineStr">
        <is>
          <t>#466</t>
        </is>
      </c>
      <c r="D3" s="8" t="inlineStr">
        <is>
          <t>Pasó</t>
        </is>
      </c>
      <c r="E3" s="8" t="inlineStr">
        <is>
          <t>2026-10-23 14:35:59</t>
        </is>
      </c>
      <c r="F3" s="8" t="n">
        <v>50.8</v>
      </c>
      <c r="G3" s="8" t="n">
        <v>2</v>
      </c>
      <c r="H3" s="4" t="inlineStr"/>
      <c r="I3" s="4" t="inlineStr">
        <is>
          <t>[TC02] Observación HU 2.1.3 CA1: no se verificó el mensaje de autorización (columna mensaje_denegacion_esperado vacía). La aplicación redirige sin mensaje; URL final: https://itmentorsoft.com/login.</t>
        </is>
      </c>
      <c r="J3" s="4" t="inlineStr">
        <is>
          <t>O-01</t>
        </is>
      </c>
      <c r="K3" s="14" t="inlineStr">
        <is>
          <t>Por_prueba/TC02_HU213_Restriccion_acceso_por_rol_a_administracion_de_evaluaciones.xlsx</t>
        </is>
      </c>
    </row>
    <row r="4">
      <c r="A4" s="8" t="inlineStr">
        <is>
          <t>TC03</t>
        </is>
      </c>
      <c r="B4" s="4" t="inlineStr">
        <is>
          <t>TC03_HU211_Evaluacion_inicial_secuencial_y_persistencia_de_respuestas</t>
        </is>
      </c>
      <c r="C4" s="4" t="inlineStr">
        <is>
          <t>#434</t>
        </is>
      </c>
      <c r="D4" s="8" t="inlineStr">
        <is>
          <t>Pasó</t>
        </is>
      </c>
      <c r="E4" s="8" t="inlineStr">
        <is>
          <t>2026-10-23 14:37:13</t>
        </is>
      </c>
      <c r="F4" s="8" t="n">
        <v>44.9</v>
      </c>
      <c r="G4" s="8" t="n">
        <v>4</v>
      </c>
      <c r="H4" s="4" t="inlineStr"/>
      <c r="I4" s="4" t="inlineStr">
        <is>
          <t>[TC03] Observación HU 2.1.1 CA2: la interfaz ofrece 'Anterior' y el panel 'Tus preguntas' para saltar entre preguntas. La redacción de Azure dice 'sin permitir saltar entre preguntas ni retroceder'; confirmar con producto cuál es el comportamiento vigente.</t>
        </is>
      </c>
      <c r="J4" s="4" t="inlineStr">
        <is>
          <t>D-03, O-02</t>
        </is>
      </c>
      <c r="K4" s="14" t="inlineStr">
        <is>
          <t>Por_prueba/TC03_HU211_Evaluacion_inicial_secuencial_y_persistencia_de_respuestas.xlsx</t>
        </is>
      </c>
    </row>
    <row r="5">
      <c r="A5" s="8" t="inlineStr">
        <is>
          <t>TC04</t>
        </is>
      </c>
      <c r="B5" s="4" t="inlineStr">
        <is>
          <t>TC04_AZ483_Login_errores_de_formato_y_mensaje_generico</t>
        </is>
      </c>
      <c r="C5" s="4" t="inlineStr">
        <is>
          <t>#483</t>
        </is>
      </c>
      <c r="D5" s="8" t="inlineStr">
        <is>
          <t>Pasó</t>
        </is>
      </c>
      <c r="E5" s="8" t="inlineStr">
        <is>
          <t>2026-10-23 13:42:35</t>
        </is>
      </c>
      <c r="F5" s="8" t="n">
        <v>37.2</v>
      </c>
      <c r="G5" s="8" t="n">
        <v>4</v>
      </c>
      <c r="H5" s="4" t="inlineStr"/>
      <c r="I5" s="4" t="inlineStr">
        <is>
          <t>[TC04] Observación #483: el mensaje genérico es 'No se pudo iniciar sesión | Correo o contraseña incorrectos.'; Azure indica el texto 'Usuario o contraseña incorrectas'. Es genérico y no revela el dato, pero el texto difiere.</t>
        </is>
      </c>
      <c r="J5" s="4" t="inlineStr">
        <is>
          <t>O-07</t>
        </is>
      </c>
      <c r="K5" s="14" t="inlineStr">
        <is>
          <t>Por_prueba/TC04_AZ483_Login_errores_de_formato_y_mensaje_generico.xlsx</t>
        </is>
      </c>
    </row>
    <row r="6">
      <c r="A6" s="8" t="inlineStr">
        <is>
          <t>TC05</t>
        </is>
      </c>
      <c r="B6" s="4" t="inlineStr">
        <is>
          <t>TC05_AZ478_Registro_limites_de_longitud_y_formato</t>
        </is>
      </c>
      <c r="C6" s="4" t="inlineStr">
        <is>
          <t>#478</t>
        </is>
      </c>
      <c r="D6" s="8" t="inlineStr">
        <is>
          <t>Pasó</t>
        </is>
      </c>
      <c r="E6" s="8" t="inlineStr">
        <is>
          <t>2026-10-23 13:43:40</t>
        </is>
      </c>
      <c r="F6" s="8" t="n">
        <v>59.7</v>
      </c>
      <c r="G6" s="8" t="n">
        <v>1</v>
      </c>
      <c r="H6" s="4" t="inlineStr"/>
      <c r="I6" s="4" t="inlineStr"/>
      <c r="J6" s="4" t="inlineStr"/>
      <c r="K6" s="14" t="inlineStr">
        <is>
          <t>Por_prueba/TC05_AZ478_Registro_limites_de_longitud_y_formato.xlsx</t>
        </is>
      </c>
    </row>
    <row r="7">
      <c r="A7" s="8" t="inlineStr">
        <is>
          <t>TC06</t>
        </is>
      </c>
      <c r="B7" s="4" t="inlineStr">
        <is>
          <t>TC06_AZ482_Registro_unicidad_de_usuario_y_correo</t>
        </is>
      </c>
      <c r="C7" s="4" t="inlineStr">
        <is>
          <t>#482</t>
        </is>
      </c>
      <c r="D7" s="8" t="inlineStr">
        <is>
          <t>Pasó</t>
        </is>
      </c>
      <c r="E7" s="8" t="inlineStr">
        <is>
          <t>2026-10-23 13:45:05</t>
        </is>
      </c>
      <c r="F7" s="8" t="n">
        <v>37</v>
      </c>
      <c r="G7" s="8" t="n">
        <v>1</v>
      </c>
      <c r="H7" s="4" t="inlineStr"/>
      <c r="I7" s="4" t="inlineStr"/>
      <c r="J7" s="4" t="inlineStr"/>
      <c r="K7" s="14" t="inlineStr">
        <is>
          <t>Por_prueba/TC06_AZ482_Registro_unicidad_de_usuario_y_correo.xlsx</t>
        </is>
      </c>
    </row>
    <row r="8">
      <c r="A8" s="8" t="inlineStr">
        <is>
          <t>TC07</t>
        </is>
      </c>
      <c r="B8" s="4" t="inlineStr">
        <is>
          <t>TC07_AZ485_Login_exitoso_cookie_segura_y_redireccion_por_rol</t>
        </is>
      </c>
      <c r="C8" s="4" t="inlineStr">
        <is>
          <t>#485</t>
        </is>
      </c>
      <c r="D8" s="8" t="inlineStr">
        <is>
          <t>Falló</t>
        </is>
      </c>
      <c r="E8" s="8" t="inlineStr">
        <is>
          <t>2026-10-23 13:59:40</t>
        </is>
      </c>
      <c r="F8" s="8" t="n">
        <v>129</v>
      </c>
      <c r="G8" s="8" t="n">
        <v>1</v>
      </c>
      <c r="H8" s="4" t="inlineStr">
        <is>
          <t>Test Cases/TC07_AZ485_Login_exitoso_cookie_segura_y_redireccion_por_rol FAILED.</t>
        </is>
      </c>
      <c r="I8" s="4" t="inlineStr">
        <is>
          <t>[TC07] Observación de seguridad #485: además de la cookie HttpOnly, el frontend guarda una copia del JWT en sessionStorage ('auth_token'), accesible desde JavaScript.</t>
        </is>
      </c>
      <c r="J8" s="4" t="inlineStr">
        <is>
          <t>D-01, O-03</t>
        </is>
      </c>
      <c r="K8" s="14" t="inlineStr">
        <is>
          <t>Por_prueba/TC07_AZ485_Login_exitoso_cookie_segura_y_redireccion_por_rol.xlsx</t>
        </is>
      </c>
    </row>
    <row r="9">
      <c r="A9" s="8" t="inlineStr">
        <is>
          <t>TC08</t>
        </is>
      </c>
      <c r="B9" s="4" t="inlineStr">
        <is>
          <t>TC08_AZ486_Recuperacion_mensaje_generico_y_vigencia</t>
        </is>
      </c>
      <c r="C9" s="4" t="inlineStr">
        <is>
          <t>#486</t>
        </is>
      </c>
      <c r="D9" s="8" t="inlineStr">
        <is>
          <t>Pasó</t>
        </is>
      </c>
      <c r="E9" s="8" t="inlineStr">
        <is>
          <t>2026-10-23 13:52:16</t>
        </is>
      </c>
      <c r="F9" s="8" t="n">
        <v>33.6</v>
      </c>
      <c r="G9" s="8" t="n">
        <v>2</v>
      </c>
      <c r="H9" s="4" t="inlineStr"/>
      <c r="I9" s="4" t="inlineStr"/>
      <c r="J9" s="4" t="inlineStr">
        <is>
          <t>D-02, D-04</t>
        </is>
      </c>
      <c r="K9" s="14" t="inlineStr">
        <is>
          <t>Por_prueba/TC08_AZ486_Recuperacion_mensaje_generico_y_vigencia.xlsx</t>
        </is>
      </c>
    </row>
    <row r="10">
      <c r="A10" s="8" t="inlineStr">
        <is>
          <t>TC09</t>
        </is>
      </c>
      <c r="B10" s="4" t="inlineStr">
        <is>
          <t>TC09_AZ488_Restablecimiento_enlace_invalido_y_complejidad</t>
        </is>
      </c>
      <c r="C10" s="4" t="inlineStr">
        <is>
          <t>#488</t>
        </is>
      </c>
      <c r="D10" s="8" t="inlineStr">
        <is>
          <t>Falló</t>
        </is>
      </c>
      <c r="E10" s="8" t="inlineStr">
        <is>
          <t>2026-10-23 13:54:23</t>
        </is>
      </c>
      <c r="F10" s="8" t="n">
        <v>276.5</v>
      </c>
      <c r="G10" s="8" t="n">
        <v>2</v>
      </c>
      <c r="H10" s="4" t="inlineStr">
        <is>
          <t>Test Cases/TC09_AZ488_Restablecimiento_enlace_invalido_y_complejidad FAILED.</t>
        </is>
      </c>
      <c r="I10" s="4" t="inlineStr"/>
      <c r="J10" s="4" t="inlineStr">
        <is>
          <t>D-02</t>
        </is>
      </c>
      <c r="K10" s="14" t="inlineStr">
        <is>
          <t>Por_prueba/TC09_AZ488_Restablecimiento_enlace_invalido_y_complejidad.xlsx</t>
        </is>
      </c>
    </row>
    <row r="11">
      <c r="A11" s="8" t="inlineStr">
        <is>
          <t>TC10</t>
        </is>
      </c>
      <c r="B11" s="4" t="inlineStr">
        <is>
          <t>TC10_AZ494_Middleware_401_y_403_segun_token_y_rol</t>
        </is>
      </c>
      <c r="C11" s="4" t="inlineStr">
        <is>
          <t>#489, #494</t>
        </is>
      </c>
      <c r="D11" s="8" t="inlineStr">
        <is>
          <t>Pasó</t>
        </is>
      </c>
      <c r="E11" s="8" t="inlineStr">
        <is>
          <t>2026-10-23 14:14:32</t>
        </is>
      </c>
      <c r="F11" s="8" t="n">
        <v>33.4</v>
      </c>
      <c r="G11" s="8" t="n">
        <v>2</v>
      </c>
      <c r="H11" s="4" t="inlineStr"/>
      <c r="I11" s="4" t="inlineStr"/>
      <c r="J11" s="4" t="inlineStr"/>
      <c r="K11" s="14" t="inlineStr">
        <is>
          <t>Por_prueba/TC10_AZ494_Middleware_401_y_403_segun_token_y_rol.xlsx</t>
        </is>
      </c>
    </row>
    <row r="12">
      <c r="A12" s="8" t="inlineStr">
        <is>
          <t>TC11</t>
        </is>
      </c>
      <c r="B12" s="4" t="inlineStr">
        <is>
          <t>TC11_AZ422_Ingreso_al_modulo_de_evaluacion_inicial</t>
        </is>
      </c>
      <c r="C12" s="4" t="inlineStr">
        <is>
          <t>#422</t>
        </is>
      </c>
      <c r="D12" s="8" t="inlineStr">
        <is>
          <t>Falló</t>
        </is>
      </c>
      <c r="E12" s="8" t="inlineStr">
        <is>
          <t>2026-10-23 14:32:20</t>
        </is>
      </c>
      <c r="F12" s="8" t="n">
        <v>55.8</v>
      </c>
      <c r="G12" s="8" t="n">
        <v>2</v>
      </c>
      <c r="H12" s="4" t="inlineStr">
        <is>
          <t>Test Cases/TC11_AZ422_Ingreso_al_modulo_de_evaluacion_inicial FAILED.</t>
        </is>
      </c>
      <c r="I12" s="4" t="inlineStr"/>
      <c r="J12" s="4" t="inlineStr">
        <is>
          <t>D-03</t>
        </is>
      </c>
      <c r="K12" s="14" t="inlineStr">
        <is>
          <t>Por_prueba/TC11_AZ422_Ingreso_al_modulo_de_evaluacion_inicial.xlsx</t>
        </is>
      </c>
    </row>
    <row r="13">
      <c r="A13" s="8" t="inlineStr">
        <is>
          <t>TC12</t>
        </is>
      </c>
      <c r="B13" s="4" t="inlineStr">
        <is>
          <t>TC12_AZ435_AZ457_Finalizacion_y_retroalimentacion_de_la_evaluacion</t>
        </is>
      </c>
      <c r="C13" s="4" t="inlineStr">
        <is>
          <t>#435, #457</t>
        </is>
      </c>
      <c r="D13" s="8" t="inlineStr">
        <is>
          <t>Pasó</t>
        </is>
      </c>
      <c r="E13" s="8" t="inlineStr">
        <is>
          <t>2026-10-23 14:16:40</t>
        </is>
      </c>
      <c r="F13" s="8" t="n">
        <v>122.5</v>
      </c>
      <c r="G13" s="8" t="n">
        <v>1</v>
      </c>
      <c r="H13" s="4" t="inlineStr"/>
      <c r="I13" s="4" t="inlineStr"/>
      <c r="J13" s="4" t="inlineStr"/>
      <c r="K13" s="14" t="inlineStr">
        <is>
          <t>Por_prueba/TC12_AZ435_AZ457_Finalizacion_y_retroalimentacion_de_la_evaluacion.xlsx</t>
        </is>
      </c>
    </row>
    <row r="14">
      <c r="A14" s="8" t="inlineStr">
        <is>
          <t>TC13</t>
        </is>
      </c>
      <c r="B14" s="4" t="inlineStr">
        <is>
          <t>TC13_AZ426_AZ451_AZ475_Progreso_perfil_y_categoria_del_estudiante</t>
        </is>
      </c>
      <c r="C14" s="4" t="inlineStr">
        <is>
          <t>#426, #451, #459, #465, #475</t>
        </is>
      </c>
      <c r="D14" s="8" t="inlineStr">
        <is>
          <t>Pasó</t>
        </is>
      </c>
      <c r="E14" s="8" t="inlineStr">
        <is>
          <t>2026-10-23 14:26:17</t>
        </is>
      </c>
      <c r="F14" s="8" t="n">
        <v>34.6</v>
      </c>
      <c r="G14" s="8" t="n">
        <v>1</v>
      </c>
      <c r="H14" s="4" t="inlineStr"/>
      <c r="I14" s="4" t="inlineStr">
        <is>
          <t>[TC13] Observación #451: la interfaz muestra el porcentaje por tema, pero no clasifica las debilidades por severidad (alta &lt; 50 %, media 50-69 %).</t>
        </is>
      </c>
      <c r="J14" s="4" t="inlineStr">
        <is>
          <t>O-05</t>
        </is>
      </c>
      <c r="K14" s="14" t="inlineStr">
        <is>
          <t>Por_prueba/TC13_AZ426_AZ451_AZ475_Progreso_perfil_y_categoria_del_estudiante.xlsx</t>
        </is>
      </c>
    </row>
    <row r="15">
      <c r="A15" s="8" t="inlineStr">
        <is>
          <t>TC14</t>
        </is>
      </c>
      <c r="B15" s="4" t="inlineStr">
        <is>
          <t>TC14_AZ436_AZ446_AZ461_Ruta_de_aprendizaje_y_recomendaciones</t>
        </is>
      </c>
      <c r="C15" s="4" t="inlineStr">
        <is>
          <t>#436, #446, #461</t>
        </is>
      </c>
      <c r="D15" s="8" t="inlineStr">
        <is>
          <t>Pasó</t>
        </is>
      </c>
      <c r="E15" s="8" t="inlineStr">
        <is>
          <t>2026-10-23 14:27:31</t>
        </is>
      </c>
      <c r="F15" s="8" t="n">
        <v>56.2</v>
      </c>
      <c r="G15" s="8" t="n">
        <v>1</v>
      </c>
      <c r="H15" s="4" t="inlineStr"/>
      <c r="I15" s="4" t="inlineStr">
        <is>
          <t>[TC14] Observación #461: al finalizar un recurso la aplicación no ofrece la evaluación de seguimiento de 10 preguntas aleatorias descrita en Azure.
[TC14] Observación #446: la aplicación no registra intereses del estudiante; las recomendaciones se basan solo en las debilidades.</t>
        </is>
      </c>
      <c r="J15" s="4" t="inlineStr">
        <is>
          <t>O-06</t>
        </is>
      </c>
      <c r="K15" s="14" t="inlineStr">
        <is>
          <t>Por_prueba/TC14_AZ436_AZ446_AZ461_Ruta_de_aprendizaje_y_recomendaciones.xlsx</t>
        </is>
      </c>
    </row>
    <row r="16">
      <c r="A16" s="8" t="inlineStr">
        <is>
          <t>TC15</t>
        </is>
      </c>
      <c r="B16" s="4" t="inlineStr">
        <is>
          <t>TC15_AZ448_Calificacion_de_recursos_recomendados</t>
        </is>
      </c>
      <c r="C16" s="4" t="inlineStr">
        <is>
          <t>#448</t>
        </is>
      </c>
      <c r="D16" s="8" t="inlineStr">
        <is>
          <t>Pasó</t>
        </is>
      </c>
      <c r="E16" s="8" t="inlineStr">
        <is>
          <t>2026-10-23 14:30:36</t>
        </is>
      </c>
      <c r="F16" s="8" t="n">
        <v>49.3</v>
      </c>
      <c r="G16" s="8" t="n">
        <v>2</v>
      </c>
      <c r="H16" s="4" t="inlineStr"/>
      <c r="I16" s="4" t="inlineStr"/>
      <c r="J16" s="4" t="inlineStr"/>
      <c r="K16" s="14" t="inlineStr">
        <is>
          <t>Por_prueba/TC15_AZ448_Calificacion_de_recursos_recomendados.xlsx</t>
        </is>
      </c>
    </row>
    <row r="17">
      <c r="A17" s="8" t="inlineStr">
        <is>
          <t>TC16</t>
        </is>
      </c>
      <c r="B17" s="4" t="inlineStr">
        <is>
          <t>TC16_AZ450_AZ500_Acceso_por_rol_a_reportes_y_datos_consolidados</t>
        </is>
      </c>
      <c r="C17" s="4" t="inlineStr">
        <is>
          <t>#450, #500</t>
        </is>
      </c>
      <c r="D17" s="8" t="inlineStr">
        <is>
          <t>Pasó</t>
        </is>
      </c>
      <c r="E17" s="8" t="inlineStr">
        <is>
          <t>2026-10-23 14:02:30</t>
        </is>
      </c>
      <c r="F17" s="8" t="n">
        <v>46.8</v>
      </c>
      <c r="G17" s="8" t="n">
        <v>1</v>
      </c>
      <c r="H17" s="4" t="inlineStr"/>
      <c r="I17" s="4" t="inlineStr"/>
      <c r="J17" s="4" t="inlineStr"/>
      <c r="K17" s="14" t="inlineStr">
        <is>
          <t>Por_prueba/TC16_AZ450_AZ500_Acceso_por_rol_a_reportes_y_datos_consolidados.xlsx</t>
        </is>
      </c>
    </row>
    <row r="18">
      <c r="A18" s="8" t="inlineStr">
        <is>
          <t>TC17</t>
        </is>
      </c>
      <c r="B18" s="4" t="inlineStr">
        <is>
          <t>TC17_AZ502_AZ476_AZ455_Reportes_graficos_y_filtro_por_nivel</t>
        </is>
      </c>
      <c r="C18" s="4" t="inlineStr">
        <is>
          <t>#418, #455, #476, #502</t>
        </is>
      </c>
      <c r="D18" s="8" t="inlineStr">
        <is>
          <t>Pasó</t>
        </is>
      </c>
      <c r="E18" s="8" t="inlineStr">
        <is>
          <t>2026-10-23 14:03:42</t>
        </is>
      </c>
      <c r="F18" s="8" t="n">
        <v>47.8</v>
      </c>
      <c r="G18" s="8" t="n">
        <v>1</v>
      </c>
      <c r="H18" s="4" t="inlineStr"/>
      <c r="I18" s="4" t="inlineStr">
        <is>
          <t>[TC17] Observación #476: el dashboard docente no ofrece filtro por rango de fechas para la consolidación por categoría.
[TC17] Observación #455/#502: no se verificó la vista 'sin datos disponibles' porque el entorno tiene estudiantes clasificados en todos los niveles.</t>
        </is>
      </c>
      <c r="J18" s="4" t="inlineStr">
        <is>
          <t>O-05</t>
        </is>
      </c>
      <c r="K18" s="14" t="inlineStr">
        <is>
          <t>Por_prueba/TC17_AZ502_AZ476_AZ455_Reportes_graficos_y_filtro_por_nivel.xlsx</t>
        </is>
      </c>
    </row>
    <row r="19">
      <c r="A19" s="8" t="inlineStr">
        <is>
          <t>TC18</t>
        </is>
      </c>
      <c r="B19" s="4" t="inlineStr">
        <is>
          <t>TC18_AZ440_AZ444_Reportes_de_recursos_y_banco_de_preguntas</t>
        </is>
      </c>
      <c r="C19" s="4" t="inlineStr">
        <is>
          <t>#440, #444</t>
        </is>
      </c>
      <c r="D19" s="8" t="inlineStr">
        <is>
          <t>Pasó</t>
        </is>
      </c>
      <c r="E19" s="8" t="inlineStr">
        <is>
          <t>2026-10-23 14:04:56</t>
        </is>
      </c>
      <c r="F19" s="8" t="n">
        <v>89.3</v>
      </c>
      <c r="G19" s="8" t="n">
        <v>1</v>
      </c>
      <c r="H19" s="4" t="inlineStr"/>
      <c r="I19" s="4" t="inlineStr">
        <is>
          <t>[TC18] Observación #440: la interfaz no resalta los recursos con promedio menor a 3.5 ni muestra el porcentaje de recursos con baja valoración.
[TC18] Observación #444: no existe un reporte consolidado de debilidades por tema (promedio &lt; 70 % y 'debilidad común' con ≥ 30 % de estudiantes); el docente solo ve el progreso por tema de cada estudiante.</t>
        </is>
      </c>
      <c r="J19" s="4" t="inlineStr">
        <is>
          <t>O-05</t>
        </is>
      </c>
      <c r="K19" s="14" t="inlineStr">
        <is>
          <t>Por_prueba/TC18_AZ440_AZ444_Reportes_de_recursos_y_banco_de_preguntas.xlsx</t>
        </is>
      </c>
    </row>
    <row r="20">
      <c r="A20" s="8" t="inlineStr">
        <is>
          <t>TC19</t>
        </is>
      </c>
      <c r="B20" s="4" t="inlineStr">
        <is>
          <t>TC19_AZ430_Gestion_de_recursos_validaciones_y_consulta</t>
        </is>
      </c>
      <c r="C20" s="4" t="inlineStr">
        <is>
          <t>#430</t>
        </is>
      </c>
      <c r="D20" s="8" t="inlineStr">
        <is>
          <t>Pasó</t>
        </is>
      </c>
      <c r="E20" s="8" t="inlineStr">
        <is>
          <t>2026-10-23 14:10:04</t>
        </is>
      </c>
      <c r="F20" s="8" t="n">
        <v>61.9</v>
      </c>
      <c r="G20" s="8" t="n">
        <v>2</v>
      </c>
      <c r="H20" s="4" t="inlineStr"/>
      <c r="I20" s="4" t="inlineStr"/>
      <c r="J20" s="4" t="inlineStr"/>
      <c r="K20" s="14" t="inlineStr">
        <is>
          <t>Por_prueba/TC19_AZ430_Gestion_de_recursos_validaciones_y_consulta.xlsx</t>
        </is>
      </c>
    </row>
    <row r="21">
      <c r="A21" s="8" t="inlineStr">
        <is>
          <t>TC20</t>
        </is>
      </c>
      <c r="B21" s="4" t="inlineStr">
        <is>
          <t>TC20_AZ468_Banco_de_preguntas_paginacion_filtros_y_versiones</t>
        </is>
      </c>
      <c r="C21" s="4" t="inlineStr">
        <is>
          <t>#468, #499</t>
        </is>
      </c>
      <c r="D21" s="8" t="inlineStr">
        <is>
          <t>Pasó</t>
        </is>
      </c>
      <c r="E21" s="8" t="inlineStr">
        <is>
          <t>2026-10-23 14:11:39</t>
        </is>
      </c>
      <c r="F21" s="8" t="n">
        <v>75.59999999999999</v>
      </c>
      <c r="G21" s="8" t="n">
        <v>1</v>
      </c>
      <c r="H21" s="4" t="inlineStr"/>
      <c r="I21" s="4" t="inlineStr">
        <is>
          <t>[TC20] Observación #468: el banco pagina de a 10 preguntas; Azure exige exactamente 20 por página.
[TC20] Alcance #468: la persistencia del CRUD (crear, editar, desactivar) no se automatizó para no alterar el banco que usan las evaluaciones reales.</t>
        </is>
      </c>
      <c r="J21" s="4" t="inlineStr">
        <is>
          <t>O-04</t>
        </is>
      </c>
      <c r="K21" s="14" t="inlineStr">
        <is>
          <t>Por_prueba/TC20_AZ468_Banco_de_preguntas_paginacion_filtros_y_versiones.xlsx</t>
        </is>
      </c>
    </row>
  </sheetData>
  <conditionalFormatting sqref="D2:D21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52" customWidth="1" min="4" max="4"/>
    <col width="13" customWidth="1" min="5" max="5"/>
    <col width="11" customWidth="1" min="6" max="6"/>
    <col width="60" customWidth="1" min="7" max="7"/>
    <col width="48" customWidth="1" min="8" max="8"/>
  </cols>
  <sheetData>
    <row r="1">
      <c r="A1" s="3" t="inlineStr">
        <is>
          <t>Fecha</t>
        </is>
      </c>
      <c r="B1" s="3" t="inlineStr">
        <is>
          <t>Suite</t>
        </is>
      </c>
      <c r="C1" s="3" t="inlineStr">
        <is>
          <t>Caso</t>
        </is>
      </c>
      <c r="D1" s="3" t="inlineStr">
        <is>
          <t>Test case Katalon</t>
        </is>
      </c>
      <c r="E1" s="3" t="inlineStr">
        <is>
          <t>Resultado</t>
        </is>
      </c>
      <c r="F1" s="3" t="inlineStr">
        <is>
          <t>Duración (s)</t>
        </is>
      </c>
      <c r="G1" s="3" t="inlineStr">
        <is>
          <t>Mensaje</t>
        </is>
      </c>
      <c r="H1" s="3" t="inlineStr">
        <is>
          <t>Reporte</t>
        </is>
      </c>
    </row>
    <row r="2">
      <c r="A2" s="8" t="inlineStr">
        <is>
          <t>2026-10-23 14:37:13</t>
        </is>
      </c>
      <c r="B2" s="4" t="inlineStr">
        <is>
          <t>TS_TC03</t>
        </is>
      </c>
      <c r="C2" s="8" t="inlineStr">
        <is>
          <t>TC03</t>
        </is>
      </c>
      <c r="D2" s="4" t="inlineStr">
        <is>
          <t>TC03_HU211_Evaluacion_inicial_secuencial_y_persistencia_de_respuestas</t>
        </is>
      </c>
      <c r="E2" s="8" t="inlineStr">
        <is>
          <t>Pasó</t>
        </is>
      </c>
      <c r="F2" s="8" t="n">
        <v>44.9</v>
      </c>
      <c r="G2" s="4" t="inlineStr"/>
      <c r="H2" s="4" t="inlineStr">
        <is>
          <t>Reports/20261023_143656/TS_TC03/20261023_143656</t>
        </is>
      </c>
    </row>
    <row r="3">
      <c r="A3" s="8" t="inlineStr">
        <is>
          <t>2026-10-23 14:35:59</t>
        </is>
      </c>
      <c r="B3" s="4" t="inlineStr">
        <is>
          <t>TS_TC02</t>
        </is>
      </c>
      <c r="C3" s="8" t="inlineStr">
        <is>
          <t>TC02</t>
        </is>
      </c>
      <c r="D3" s="4" t="inlineStr">
        <is>
          <t>TC02_HU213_Restriccion_acceso_por_rol_a_administracion_de_evaluaciones</t>
        </is>
      </c>
      <c r="E3" s="8" t="inlineStr">
        <is>
          <t>Pasó</t>
        </is>
      </c>
      <c r="F3" s="8" t="n">
        <v>50.8</v>
      </c>
      <c r="G3" s="4" t="inlineStr"/>
      <c r="H3" s="4" t="inlineStr">
        <is>
          <t>Reports/20261023_143537/TS_TC02/20261023_143537</t>
        </is>
      </c>
    </row>
    <row r="4">
      <c r="A4" s="8" t="inlineStr">
        <is>
          <t>2026-10-23 14:34:36</t>
        </is>
      </c>
      <c r="B4" s="4" t="inlineStr">
        <is>
          <t>TS_TC01</t>
        </is>
      </c>
      <c r="C4" s="8" t="inlineStr">
        <is>
          <t>TC01</t>
        </is>
      </c>
      <c r="D4" s="4" t="inlineStr">
        <is>
          <t>TC01_HU122_Aislamiento_datos_academicos_entre_estudiantes</t>
        </is>
      </c>
      <c r="E4" s="8" t="inlineStr">
        <is>
          <t>Pasó</t>
        </is>
      </c>
      <c r="F4" s="8" t="n">
        <v>50.8</v>
      </c>
      <c r="G4" s="4" t="inlineStr"/>
      <c r="H4" s="4" t="inlineStr">
        <is>
          <t>Reports/20261023_143352/TS_TC01/20261023_143352</t>
        </is>
      </c>
    </row>
    <row r="5">
      <c r="A5" s="8" t="inlineStr">
        <is>
          <t>2026-10-23 14:32:20</t>
        </is>
      </c>
      <c r="B5" s="4" t="inlineStr">
        <is>
          <t>TS_TC11</t>
        </is>
      </c>
      <c r="C5" s="8" t="inlineStr">
        <is>
          <t>TC11</t>
        </is>
      </c>
      <c r="D5" s="4" t="inlineStr">
        <is>
          <t>TC11_AZ422_Ingreso_al_modulo_de_evaluacion_inicial</t>
        </is>
      </c>
      <c r="E5" s="8" t="inlineStr">
        <is>
          <t>Falló</t>
        </is>
      </c>
      <c r="F5" s="8" t="n">
        <v>55.8</v>
      </c>
      <c r="G5" s="4" t="inlineStr">
        <is>
          <t>Test Cases/TC11_AZ422_Ingreso_al_modulo_de_evaluacion_inicial FAILED.</t>
        </is>
      </c>
      <c r="H5" s="4" t="inlineStr">
        <is>
          <t>Reports/20261023_143206/TS_TC11/20261023_143206</t>
        </is>
      </c>
    </row>
    <row r="6">
      <c r="A6" s="8" t="inlineStr">
        <is>
          <t>2026-10-23 14:30:36</t>
        </is>
      </c>
      <c r="B6" s="4" t="inlineStr">
        <is>
          <t>TS_TC15</t>
        </is>
      </c>
      <c r="C6" s="8" t="inlineStr">
        <is>
          <t>TC15</t>
        </is>
      </c>
      <c r="D6" s="4" t="inlineStr">
        <is>
          <t>TC15_AZ448_Calificacion_de_recursos_recomendados</t>
        </is>
      </c>
      <c r="E6" s="8" t="inlineStr">
        <is>
          <t>Pasó</t>
        </is>
      </c>
      <c r="F6" s="8" t="n">
        <v>49.3</v>
      </c>
      <c r="G6" s="4" t="inlineStr"/>
      <c r="H6" s="4" t="inlineStr">
        <is>
          <t>Reports/20261023_143013/TS_TC15/20261023_143013</t>
        </is>
      </c>
    </row>
    <row r="7">
      <c r="A7" s="8" t="inlineStr">
        <is>
          <t>2026-10-23 14:28:55</t>
        </is>
      </c>
      <c r="B7" s="4" t="inlineStr">
        <is>
          <t>TS_TC15</t>
        </is>
      </c>
      <c r="C7" s="8" t="inlineStr">
        <is>
          <t>TC15</t>
        </is>
      </c>
      <c r="D7" s="4" t="inlineStr">
        <is>
          <t>TC15_AZ448_Calificacion_de_recursos_recomendados</t>
        </is>
      </c>
      <c r="E7" s="8" t="inlineStr">
        <is>
          <t>Pasó</t>
        </is>
      </c>
      <c r="F7" s="8" t="n">
        <v>39.4</v>
      </c>
      <c r="G7" s="4" t="inlineStr"/>
      <c r="H7" s="4" t="inlineStr">
        <is>
          <t>Reports/20261023_142841/TS_TC15/20261023_142841</t>
        </is>
      </c>
    </row>
    <row r="8">
      <c r="A8" s="8" t="inlineStr">
        <is>
          <t>2026-10-23 14:27:31</t>
        </is>
      </c>
      <c r="B8" s="4" t="inlineStr">
        <is>
          <t>TS_TC14</t>
        </is>
      </c>
      <c r="C8" s="8" t="inlineStr">
        <is>
          <t>TC14</t>
        </is>
      </c>
      <c r="D8" s="4" t="inlineStr">
        <is>
          <t>TC14_AZ436_AZ446_AZ461_Ruta_de_aprendizaje_y_recomendaciones</t>
        </is>
      </c>
      <c r="E8" s="8" t="inlineStr">
        <is>
          <t>Pasó</t>
        </is>
      </c>
      <c r="F8" s="8" t="n">
        <v>56.2</v>
      </c>
      <c r="G8" s="4" t="inlineStr"/>
      <c r="H8" s="4" t="inlineStr">
        <is>
          <t>Reports/20261023_142719/TS_TC14/20261023_142719</t>
        </is>
      </c>
    </row>
    <row r="9">
      <c r="A9" s="8" t="inlineStr">
        <is>
          <t>2026-10-23 14:26:17</t>
        </is>
      </c>
      <c r="B9" s="4" t="inlineStr">
        <is>
          <t>TS_TC13</t>
        </is>
      </c>
      <c r="C9" s="8" t="inlineStr">
        <is>
          <t>TC13</t>
        </is>
      </c>
      <c r="D9" s="4" t="inlineStr">
        <is>
          <t>TC13_AZ426_AZ451_AZ475_Progreso_perfil_y_categoria_del_estudiante</t>
        </is>
      </c>
      <c r="E9" s="8" t="inlineStr">
        <is>
          <t>Pasó</t>
        </is>
      </c>
      <c r="F9" s="8" t="n">
        <v>34.6</v>
      </c>
      <c r="G9" s="4" t="inlineStr"/>
      <c r="H9" s="4" t="inlineStr">
        <is>
          <t>Reports/20261023_142600/TS_TC13/20261023_142600</t>
        </is>
      </c>
    </row>
    <row r="10">
      <c r="A10" s="8" t="inlineStr">
        <is>
          <t>2026-10-23 14:16:40</t>
        </is>
      </c>
      <c r="B10" s="4" t="inlineStr">
        <is>
          <t>TS_TC12</t>
        </is>
      </c>
      <c r="C10" s="8" t="inlineStr">
        <is>
          <t>TC12</t>
        </is>
      </c>
      <c r="D10" s="4" t="inlineStr">
        <is>
          <t>TC12_AZ435_AZ457_Finalizacion_y_retroalimentacion_de_la_evaluacion</t>
        </is>
      </c>
      <c r="E10" s="8" t="inlineStr">
        <is>
          <t>Pasó</t>
        </is>
      </c>
      <c r="F10" s="8" t="n">
        <v>122.5</v>
      </c>
      <c r="G10" s="4" t="inlineStr"/>
      <c r="H10" s="4" t="inlineStr">
        <is>
          <t>Reports/20261023_141628/TS_TC12/20261023_141628</t>
        </is>
      </c>
    </row>
    <row r="11">
      <c r="A11" s="8" t="inlineStr">
        <is>
          <t>2026-10-23 14:15:28</t>
        </is>
      </c>
      <c r="B11" s="4" t="inlineStr">
        <is>
          <t>TS_TC11</t>
        </is>
      </c>
      <c r="C11" s="8" t="inlineStr">
        <is>
          <t>TC11</t>
        </is>
      </c>
      <c r="D11" s="4" t="inlineStr">
        <is>
          <t>TC11_AZ422_Ingreso_al_modulo_de_evaluacion_inicial</t>
        </is>
      </c>
      <c r="E11" s="8" t="inlineStr">
        <is>
          <t>Pasó</t>
        </is>
      </c>
      <c r="F11" s="8" t="n">
        <v>43</v>
      </c>
      <c r="G11" s="4" t="inlineStr"/>
      <c r="H11" s="4" t="inlineStr">
        <is>
          <t>Reports/20261023_141517/TS_TC11/20261023_141517</t>
        </is>
      </c>
    </row>
    <row r="12">
      <c r="A12" s="8" t="inlineStr">
        <is>
          <t>2026-10-23 14:14:32</t>
        </is>
      </c>
      <c r="B12" s="4" t="inlineStr">
        <is>
          <t>TS_TC10</t>
        </is>
      </c>
      <c r="C12" s="8" t="inlineStr">
        <is>
          <t>TC10</t>
        </is>
      </c>
      <c r="D12" s="4" t="inlineStr">
        <is>
          <t>TC10_AZ494_Middleware_401_y_403_segun_token_y_rol</t>
        </is>
      </c>
      <c r="E12" s="8" t="inlineStr">
        <is>
          <t>Pasó</t>
        </is>
      </c>
      <c r="F12" s="8" t="n">
        <v>33.4</v>
      </c>
      <c r="G12" s="4" t="inlineStr"/>
      <c r="H12" s="4" t="inlineStr">
        <is>
          <t>Reports/20261023_141422/TS_TC10/20261023_141422</t>
        </is>
      </c>
    </row>
    <row r="13">
      <c r="A13" s="8" t="inlineStr">
        <is>
          <t>2026-10-23 14:13:20</t>
        </is>
      </c>
      <c r="B13" s="4" t="inlineStr">
        <is>
          <t>TS_TC10</t>
        </is>
      </c>
      <c r="C13" s="8" t="inlineStr">
        <is>
          <t>TC10</t>
        </is>
      </c>
      <c r="D13" s="4" t="inlineStr">
        <is>
          <t>TC10_AZ494_Middleware_401_y_403_segun_token_y_rol</t>
        </is>
      </c>
      <c r="E13" s="8" t="inlineStr">
        <is>
          <t>Falló</t>
        </is>
      </c>
      <c r="F13" s="8" t="n">
        <v>34</v>
      </c>
      <c r="G13" s="4" t="inlineStr">
        <is>
          <t>Test Cases/TC10_AZ494_Middleware_401_y_403_segun_token_y_rol FAILED.</t>
        </is>
      </c>
      <c r="H13" s="4" t="inlineStr">
        <is>
          <t>Reports/20261023_141309/TS_TC10/20261023_141309</t>
        </is>
      </c>
    </row>
    <row r="14">
      <c r="A14" s="8" t="inlineStr">
        <is>
          <t>2026-10-23 14:11:39</t>
        </is>
      </c>
      <c r="B14" s="4" t="inlineStr">
        <is>
          <t>TS_TC20</t>
        </is>
      </c>
      <c r="C14" s="8" t="inlineStr">
        <is>
          <t>TC20</t>
        </is>
      </c>
      <c r="D14" s="4" t="inlineStr">
        <is>
          <t>TC20_AZ468_Banco_de_preguntas_paginacion_filtros_y_versiones</t>
        </is>
      </c>
      <c r="E14" s="8" t="inlineStr">
        <is>
          <t>Pasó</t>
        </is>
      </c>
      <c r="F14" s="8" t="n">
        <v>75.59999999999999</v>
      </c>
      <c r="G14" s="4" t="inlineStr"/>
      <c r="H14" s="4" t="inlineStr">
        <is>
          <t>Reports/20261023_141128/TS_TC20/20261023_141128</t>
        </is>
      </c>
    </row>
    <row r="15">
      <c r="A15" s="8" t="inlineStr">
        <is>
          <t>2026-10-23 14:10:04</t>
        </is>
      </c>
      <c r="B15" s="4" t="inlineStr">
        <is>
          <t>TS_TC19</t>
        </is>
      </c>
      <c r="C15" s="8" t="inlineStr">
        <is>
          <t>TC19</t>
        </is>
      </c>
      <c r="D15" s="4" t="inlineStr">
        <is>
          <t>TC19_AZ430_Gestion_de_recursos_validaciones_y_consulta</t>
        </is>
      </c>
      <c r="E15" s="8" t="inlineStr">
        <is>
          <t>Pasó</t>
        </is>
      </c>
      <c r="F15" s="8" t="n">
        <v>61.9</v>
      </c>
      <c r="G15" s="4" t="inlineStr"/>
      <c r="H15" s="4" t="inlineStr">
        <is>
          <t>Reports/20261023_140943/TS_TC19/20261023_140943</t>
        </is>
      </c>
    </row>
    <row r="16">
      <c r="A16" s="8" t="inlineStr">
        <is>
          <t>2026-10-23 14:07:09</t>
        </is>
      </c>
      <c r="B16" s="4" t="inlineStr">
        <is>
          <t>TS_TC19</t>
        </is>
      </c>
      <c r="C16" s="8" t="inlineStr">
        <is>
          <t>TC19</t>
        </is>
      </c>
      <c r="D16" s="4" t="inlineStr">
        <is>
          <t>TC19_AZ430_Gestion_de_recursos_validaciones_y_consulta</t>
        </is>
      </c>
      <c r="E16" s="8" t="inlineStr">
        <is>
          <t>Falló</t>
        </is>
      </c>
      <c r="F16" s="8" t="n">
        <v>72.2</v>
      </c>
      <c r="G16" s="4" t="inlineStr">
        <is>
          <t>Test Cases/TC19_AZ430_Gestion_de_recursos_validaciones_y_consulta FAILED.</t>
        </is>
      </c>
      <c r="H16" s="4" t="inlineStr">
        <is>
          <t>Reports/20261023_140645/TS_TC19/20261023_140645</t>
        </is>
      </c>
    </row>
    <row r="17">
      <c r="A17" s="8" t="inlineStr">
        <is>
          <t>2026-10-23 14:04:56</t>
        </is>
      </c>
      <c r="B17" s="4" t="inlineStr">
        <is>
          <t>TS_TC18</t>
        </is>
      </c>
      <c r="C17" s="8" t="inlineStr">
        <is>
          <t>TC18</t>
        </is>
      </c>
      <c r="D17" s="4" t="inlineStr">
        <is>
          <t>TC18_AZ440_AZ444_Reportes_de_recursos_y_banco_de_preguntas</t>
        </is>
      </c>
      <c r="E17" s="8" t="inlineStr">
        <is>
          <t>Pasó</t>
        </is>
      </c>
      <c r="F17" s="8" t="n">
        <v>89.3</v>
      </c>
      <c r="G17" s="4" t="inlineStr"/>
      <c r="H17" s="4" t="inlineStr">
        <is>
          <t>Reports/20261023_140446/TS_TC18/20261023_140446</t>
        </is>
      </c>
    </row>
    <row r="18">
      <c r="A18" s="8" t="inlineStr">
        <is>
          <t>2026-10-23 14:03:42</t>
        </is>
      </c>
      <c r="B18" s="4" t="inlineStr">
        <is>
          <t>TS_TC17</t>
        </is>
      </c>
      <c r="C18" s="8" t="inlineStr">
        <is>
          <t>TC17</t>
        </is>
      </c>
      <c r="D18" s="4" t="inlineStr">
        <is>
          <t>TC17_AZ502_AZ476_AZ455_Reportes_graficos_y_filtro_por_nivel</t>
        </is>
      </c>
      <c r="E18" s="8" t="inlineStr">
        <is>
          <t>Pasó</t>
        </is>
      </c>
      <c r="F18" s="8" t="n">
        <v>47.8</v>
      </c>
      <c r="G18" s="4" t="inlineStr"/>
      <c r="H18" s="4" t="inlineStr">
        <is>
          <t>Reports/20261023_140331/TS_TC17/20261023_140331</t>
        </is>
      </c>
    </row>
    <row r="19">
      <c r="A19" s="8" t="inlineStr">
        <is>
          <t>2026-10-23 14:02:30</t>
        </is>
      </c>
      <c r="B19" s="4" t="inlineStr">
        <is>
          <t>TS_TC16</t>
        </is>
      </c>
      <c r="C19" s="8" t="inlineStr">
        <is>
          <t>TC16</t>
        </is>
      </c>
      <c r="D19" s="4" t="inlineStr">
        <is>
          <t>TC16_AZ450_AZ500_Acceso_por_rol_a_reportes_y_datos_consolidados</t>
        </is>
      </c>
      <c r="E19" s="8" t="inlineStr">
        <is>
          <t>Pasó</t>
        </is>
      </c>
      <c r="F19" s="8" t="n">
        <v>46.8</v>
      </c>
      <c r="G19" s="4" t="inlineStr"/>
      <c r="H19" s="4" t="inlineStr">
        <is>
          <t>Reports/20261023_140216/TS_TC16/20261023_140216</t>
        </is>
      </c>
    </row>
    <row r="20">
      <c r="A20" s="8" t="inlineStr">
        <is>
          <t>2026-10-23 13:59:40</t>
        </is>
      </c>
      <c r="B20" s="4" t="inlineStr">
        <is>
          <t>TS_TC07</t>
        </is>
      </c>
      <c r="C20" s="8" t="inlineStr">
        <is>
          <t>TC07</t>
        </is>
      </c>
      <c r="D20" s="4" t="inlineStr">
        <is>
          <t>TC07_AZ485_Login_exitoso_cookie_segura_y_redireccion_por_rol</t>
        </is>
      </c>
      <c r="E20" s="8" t="inlineStr">
        <is>
          <t>Falló</t>
        </is>
      </c>
      <c r="F20" s="8" t="n">
        <v>129</v>
      </c>
      <c r="G20" s="4" t="inlineStr">
        <is>
          <t>Test Cases/TC07_AZ485_Login_exitoso_cookie_segura_y_redireccion_por_rol FAILED.</t>
        </is>
      </c>
      <c r="H20" s="4" t="inlineStr">
        <is>
          <t>Reports/20261023_135930/TS_TC07/20261023_135930</t>
        </is>
      </c>
    </row>
    <row r="21">
      <c r="A21" s="8" t="inlineStr">
        <is>
          <t>2026-10-23 13:54:23</t>
        </is>
      </c>
      <c r="B21" s="4" t="inlineStr">
        <is>
          <t>TS_TC09</t>
        </is>
      </c>
      <c r="C21" s="8" t="inlineStr">
        <is>
          <t>TC09</t>
        </is>
      </c>
      <c r="D21" s="4" t="inlineStr">
        <is>
          <t>TC09_AZ488_Restablecimiento_enlace_invalido_y_complejidad</t>
        </is>
      </c>
      <c r="E21" s="8" t="inlineStr">
        <is>
          <t>Falló</t>
        </is>
      </c>
      <c r="F21" s="8" t="n">
        <v>276.5</v>
      </c>
      <c r="G21" s="4" t="inlineStr">
        <is>
          <t>Test Cases/TC09_AZ488_Restablecimiento_enlace_invalido_y_complejidad FAILED.</t>
        </is>
      </c>
      <c r="H21" s="4" t="inlineStr">
        <is>
          <t>Reports/20261023_135414/TS_TC09/20261023_135414</t>
        </is>
      </c>
    </row>
    <row r="22">
      <c r="A22" s="8" t="inlineStr">
        <is>
          <t>2026-10-23 13:52:16</t>
        </is>
      </c>
      <c r="B22" s="4" t="inlineStr">
        <is>
          <t>TS_TC08</t>
        </is>
      </c>
      <c r="C22" s="8" t="inlineStr">
        <is>
          <t>TC08</t>
        </is>
      </c>
      <c r="D22" s="4" t="inlineStr">
        <is>
          <t>TC08_AZ486_Recuperacion_mensaje_generico_y_vigencia</t>
        </is>
      </c>
      <c r="E22" s="8" t="inlineStr">
        <is>
          <t>Pasó</t>
        </is>
      </c>
      <c r="F22" s="8" t="n">
        <v>33.6</v>
      </c>
      <c r="G22" s="4" t="inlineStr"/>
      <c r="H22" s="4" t="inlineStr">
        <is>
          <t>Reports/20261023_135207/TS_TC08/20261023_135207</t>
        </is>
      </c>
    </row>
    <row r="23">
      <c r="A23" s="8" t="inlineStr">
        <is>
          <t>2026-10-23 13:49:31</t>
        </is>
      </c>
      <c r="B23" s="4" t="inlineStr">
        <is>
          <t>TS_TC09</t>
        </is>
      </c>
      <c r="C23" s="8" t="inlineStr">
        <is>
          <t>TC09</t>
        </is>
      </c>
      <c r="D23" s="4" t="inlineStr">
        <is>
          <t>TC09_AZ488_Restablecimiento_enlace_invalido_y_complejidad</t>
        </is>
      </c>
      <c r="E23" s="8" t="inlineStr">
        <is>
          <t>Falló</t>
        </is>
      </c>
      <c r="F23" s="8" t="n">
        <v>111.4</v>
      </c>
      <c r="G23" s="4" t="inlineStr">
        <is>
          <t>Test Cases/TC09_AZ488_Restablecimiento_enlace_invalido_y_complejidad FAILED.</t>
        </is>
      </c>
      <c r="H23" s="4" t="inlineStr">
        <is>
          <t>Reports/20261023_134921/TS_TC09/20261023_134921</t>
        </is>
      </c>
    </row>
    <row r="24">
      <c r="A24" s="8" t="inlineStr">
        <is>
          <t>2026-10-23 13:46:12</t>
        </is>
      </c>
      <c r="B24" s="4" t="inlineStr">
        <is>
          <t>TS_TC08</t>
        </is>
      </c>
      <c r="C24" s="8" t="inlineStr">
        <is>
          <t>TC08</t>
        </is>
      </c>
      <c r="D24" s="4" t="inlineStr">
        <is>
          <t>TC08_AZ486_Recuperacion_mensaje_generico_y_vigencia</t>
        </is>
      </c>
      <c r="E24" s="8" t="inlineStr">
        <is>
          <t>Pasó</t>
        </is>
      </c>
      <c r="F24" s="8" t="n">
        <v>40.6</v>
      </c>
      <c r="G24" s="4" t="inlineStr"/>
      <c r="H24" s="4" t="inlineStr">
        <is>
          <t>Reports/20261023_134557/TS_TC08/20261023_134557</t>
        </is>
      </c>
    </row>
    <row r="25">
      <c r="A25" s="8" t="inlineStr">
        <is>
          <t>2026-10-23 13:45:05</t>
        </is>
      </c>
      <c r="B25" s="4" t="inlineStr">
        <is>
          <t>TS_TC06</t>
        </is>
      </c>
      <c r="C25" s="8" t="inlineStr">
        <is>
          <t>TC06</t>
        </is>
      </c>
      <c r="D25" s="4" t="inlineStr">
        <is>
          <t>TC06_AZ482_Registro_unicidad_de_usuario_y_correo</t>
        </is>
      </c>
      <c r="E25" s="8" t="inlineStr">
        <is>
          <t>Pasó</t>
        </is>
      </c>
      <c r="F25" s="8" t="n">
        <v>37</v>
      </c>
      <c r="G25" s="4" t="inlineStr"/>
      <c r="H25" s="4" t="inlineStr">
        <is>
          <t>Reports/20261023_134452/TS_TC06/20261023_134452</t>
        </is>
      </c>
    </row>
    <row r="26">
      <c r="A26" s="8" t="inlineStr">
        <is>
          <t>2026-10-23 13:43:40</t>
        </is>
      </c>
      <c r="B26" s="4" t="inlineStr">
        <is>
          <t>TS_TC05</t>
        </is>
      </c>
      <c r="C26" s="8" t="inlineStr">
        <is>
          <t>TC05</t>
        </is>
      </c>
      <c r="D26" s="4" t="inlineStr">
        <is>
          <t>TC05_AZ478_Registro_limites_de_longitud_y_formato</t>
        </is>
      </c>
      <c r="E26" s="8" t="inlineStr">
        <is>
          <t>Pasó</t>
        </is>
      </c>
      <c r="F26" s="8" t="n">
        <v>59.7</v>
      </c>
      <c r="G26" s="4" t="inlineStr"/>
      <c r="H26" s="4" t="inlineStr">
        <is>
          <t>Reports/20261023_134325/TS_TC05/20261023_134325</t>
        </is>
      </c>
    </row>
    <row r="27">
      <c r="A27" s="8" t="inlineStr">
        <is>
          <t>2026-10-23 13:42:35</t>
        </is>
      </c>
      <c r="B27" s="4" t="inlineStr">
        <is>
          <t>TS_TC04</t>
        </is>
      </c>
      <c r="C27" s="8" t="inlineStr">
        <is>
          <t>TC04</t>
        </is>
      </c>
      <c r="D27" s="4" t="inlineStr">
        <is>
          <t>TC04_AZ483_Login_errores_de_formato_y_mensaje_generico</t>
        </is>
      </c>
      <c r="E27" s="8" t="inlineStr">
        <is>
          <t>Pasó</t>
        </is>
      </c>
      <c r="F27" s="8" t="n">
        <v>37.2</v>
      </c>
      <c r="G27" s="4" t="inlineStr"/>
      <c r="H27" s="4" t="inlineStr">
        <is>
          <t>Reports/20261023_134217/TS_TC04/20261023_134217</t>
        </is>
      </c>
    </row>
    <row r="28">
      <c r="A28" s="8" t="inlineStr">
        <is>
          <t>2026-10-23 13:41:44</t>
        </is>
      </c>
      <c r="B28" s="4" t="inlineStr">
        <is>
          <t>TS_TC04</t>
        </is>
      </c>
      <c r="C28" s="8" t="inlineStr">
        <is>
          <t>TC04</t>
        </is>
      </c>
      <c r="D28" s="4" t="inlineStr">
        <is>
          <t>TC04_AZ483_Login_errores_de_formato_y_mensaje_generico</t>
        </is>
      </c>
      <c r="E28" s="8" t="inlineStr">
        <is>
          <t>Falló</t>
        </is>
      </c>
      <c r="F28" s="8" t="n">
        <v>12.6</v>
      </c>
      <c r="G28" s="4" t="inlineStr">
        <is>
          <t>Test Cases/TC04_AZ483_Login_errores_de_formato_y_mensaje_generico FAILED.</t>
        </is>
      </c>
      <c r="H28" s="4" t="inlineStr">
        <is>
          <t>Reports/20261023_134134/TS_TC04/20261023_134134</t>
        </is>
      </c>
    </row>
    <row r="29">
      <c r="A29" s="8" t="inlineStr">
        <is>
          <t>2026-10-23 13:40:13</t>
        </is>
      </c>
      <c r="B29" s="4" t="inlineStr">
        <is>
          <t>TS_TC04</t>
        </is>
      </c>
      <c r="C29" s="8" t="inlineStr">
        <is>
          <t>TC04</t>
        </is>
      </c>
      <c r="D29" s="4" t="inlineStr">
        <is>
          <t>TC04_AZ483_Login_errores_de_formato_y_mensaje_generico</t>
        </is>
      </c>
      <c r="E29" s="8" t="inlineStr">
        <is>
          <t>Pasó</t>
        </is>
      </c>
      <c r="F29" s="8" t="n">
        <v>43.5</v>
      </c>
      <c r="G29" s="4" t="inlineStr"/>
      <c r="H29" s="4" t="inlineStr">
        <is>
          <t>Reports/20261023_133958/TS_TC04/20261023_133958</t>
        </is>
      </c>
    </row>
    <row r="30">
      <c r="A30" s="8" t="inlineStr">
        <is>
          <t>2026-10-23 13:37:45</t>
        </is>
      </c>
      <c r="B30" s="4" t="inlineStr">
        <is>
          <t>TS_TC04</t>
        </is>
      </c>
      <c r="C30" s="8" t="inlineStr">
        <is>
          <t>TC04</t>
        </is>
      </c>
      <c r="D30" s="4" t="inlineStr">
        <is>
          <t>TC04_AZ483_Login_errores_de_formato_y_mensaje_generico</t>
        </is>
      </c>
      <c r="E30" s="8" t="inlineStr">
        <is>
          <t>Falló</t>
        </is>
      </c>
      <c r="F30" s="8" t="n">
        <v>39.5</v>
      </c>
      <c r="G30" s="4" t="inlineStr">
        <is>
          <t>Test Cases/TC04_AZ483_Login_errores_de_formato_y_mensaje_generico FAILED.</t>
        </is>
      </c>
      <c r="H30" s="4" t="inlineStr">
        <is>
          <t>Reports/20261023_133729/TS_TC04/20261023_133729</t>
        </is>
      </c>
    </row>
    <row r="31">
      <c r="A31" s="8" t="inlineStr">
        <is>
          <t>2026-10-21 21:49:09</t>
        </is>
      </c>
      <c r="B31" s="4" t="inlineStr">
        <is>
          <t>TS_TC02</t>
        </is>
      </c>
      <c r="C31" s="8" t="inlineStr">
        <is>
          <t>TC02</t>
        </is>
      </c>
      <c r="D31" s="4" t="inlineStr">
        <is>
          <t>TC02_HU213_Restriccion_acceso_por_rol_a_administracion_de_evaluaciones</t>
        </is>
      </c>
      <c r="E31" s="8" t="inlineStr">
        <is>
          <t>Pasó</t>
        </is>
      </c>
      <c r="F31" s="8" t="n">
        <v>134.5</v>
      </c>
      <c r="G31" s="4" t="inlineStr"/>
      <c r="H31" s="4" t="inlineStr">
        <is>
          <t>Reports/20261021_214853/TS_TC02/20261021_214853</t>
        </is>
      </c>
    </row>
    <row r="32">
      <c r="A32" s="8" t="inlineStr">
        <is>
          <t>2026-10-21 21:46:24</t>
        </is>
      </c>
      <c r="B32" s="4" t="inlineStr">
        <is>
          <t>TS_TC01</t>
        </is>
      </c>
      <c r="C32" s="8" t="inlineStr">
        <is>
          <t>TC01</t>
        </is>
      </c>
      <c r="D32" s="4" t="inlineStr">
        <is>
          <t>TC01_HU122_Aislamiento_datos_academicos_entre_estudiantes</t>
        </is>
      </c>
      <c r="E32" s="8" t="inlineStr">
        <is>
          <t>Pasó</t>
        </is>
      </c>
      <c r="F32" s="8" t="n">
        <v>121.2</v>
      </c>
      <c r="G32" s="4" t="inlineStr"/>
      <c r="H32" s="4" t="inlineStr">
        <is>
          <t>Reports/20261021_214606/TS_TC01/20261021_214606</t>
        </is>
      </c>
    </row>
    <row r="33">
      <c r="A33" s="8" t="inlineStr">
        <is>
          <t>2026-10-21 21:42:35</t>
        </is>
      </c>
      <c r="B33" s="4" t="inlineStr">
        <is>
          <t>TS_TC03</t>
        </is>
      </c>
      <c r="C33" s="8" t="inlineStr">
        <is>
          <t>TC03</t>
        </is>
      </c>
      <c r="D33" s="4" t="inlineStr">
        <is>
          <t>TC03_HU211_Evaluacion_inicial_secuencial_y_persistencia_de_respuestas</t>
        </is>
      </c>
      <c r="E33" s="8" t="inlineStr">
        <is>
          <t>Pasó</t>
        </is>
      </c>
      <c r="F33" s="8" t="n">
        <v>91.90000000000001</v>
      </c>
      <c r="G33" s="4" t="inlineStr"/>
      <c r="H33" s="4" t="inlineStr">
        <is>
          <t>Reports/20261021_214208/TS_TC03/20261021_214208</t>
        </is>
      </c>
    </row>
    <row r="34">
      <c r="A34" s="8" t="inlineStr">
        <is>
          <t>2026-10-21 21:35:04</t>
        </is>
      </c>
      <c r="B34" s="4" t="inlineStr">
        <is>
          <t>TS_TC03</t>
        </is>
      </c>
      <c r="C34" s="8" t="inlineStr">
        <is>
          <t>TC03</t>
        </is>
      </c>
      <c r="D34" s="4" t="inlineStr">
        <is>
          <t>TC03_HU211_Evaluacion_inicial_secuencial_y_persistencia_de_respuestas</t>
        </is>
      </c>
      <c r="E34" s="8" t="inlineStr">
        <is>
          <t>Falló</t>
        </is>
      </c>
      <c r="F34" s="8" t="n">
        <v>109.4</v>
      </c>
      <c r="G34" s="4" t="inlineStr">
        <is>
          <t>Test Cases/TC03_HU211_Evaluacion_inicial_secuencial_y_persistencia_de_respuestas FAILED.</t>
        </is>
      </c>
      <c r="H34" s="4" t="inlineStr">
        <is>
          <t>Reports/20261021_213446/TS_TC03/20261021_213446</t>
        </is>
      </c>
    </row>
    <row r="35">
      <c r="A35" s="8" t="inlineStr">
        <is>
          <t>2026-10-21 21:33:55</t>
        </is>
      </c>
      <c r="B35" s="4" t="inlineStr">
        <is>
          <t>TS_TC03</t>
        </is>
      </c>
      <c r="C35" s="8" t="inlineStr">
        <is>
          <t>TC03</t>
        </is>
      </c>
      <c r="D35" s="4" t="inlineStr">
        <is>
          <t>TC03_HU211_Evaluacion_inicial_secuencial_y_persistencia_de_respuestas</t>
        </is>
      </c>
      <c r="E35" s="8" t="inlineStr">
        <is>
          <t>Error</t>
        </is>
      </c>
      <c r="F35" s="8" t="n">
        <v>5.3</v>
      </c>
      <c r="G35" s="4" t="inlineStr">
        <is>
          <t>Test Cases/TC03_HU211_Evaluacion_inicial_secuencial_y_persistencia_de_respuestas FAILED.</t>
        </is>
      </c>
      <c r="H35" s="4" t="inlineStr">
        <is>
          <t>Reports/20261021_213332/TS_TC03/20261021_213333</t>
        </is>
      </c>
    </row>
  </sheetData>
  <conditionalFormatting sqref="E2:E35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2026-10-23T19:56:07Z</dcterms:created>
  <dcterms:modified xsi:type="dcterms:W3CDTF">2026-10-23T19:56:07Z</dcterms:modified>
</cp:coreProperties>
</file>